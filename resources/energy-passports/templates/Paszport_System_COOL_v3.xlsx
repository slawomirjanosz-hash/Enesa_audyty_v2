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<sst xmlns="http://schemas.openxmlformats.org/spreadsheetml/2006/main" count="385" uniqueCount="330">
  <si>
    <t xml:space="preserve">ENESA  ·  PASZPORT SYSTEMU CHŁODZENIA  ·  A-EnMS-COOL-SYS-01  ·  ANKIETA ETAP 1</t>
  </si>
  <si>
    <t xml:space="preserve">Wypełnia: Energy Manager + Konsultant ENESA  ·  Pola ŻÓŁTE = wpisz  ·  Przegląd całego systemu chłodzenia</t>
  </si>
  <si>
    <t xml:space="preserve">ID SYSTEMU / ZAKŁAD:</t>
  </si>
  <si>
    <t xml:space="preserve">Data przeglądu:</t>
  </si>
  <si>
    <t xml:space="preserve">Konsultant / EM: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</si>
  <si>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</si>
  <si>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</si>
  <si>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</si>
  <si>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</si>
  <si>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</si>
  <si>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BLOK A — ZESTAWIENIE URZĄDZEŃ CHŁODNICZYCH SYSTEMU</t>
  </si>
  <si>
    <t xml:space="preserve">  Każde urządzenie chłodnicze ma osobny Paszport Urządzenia (A-EnMS-COOL-01). Ten paszport agreguje dane systemu — jak urządzenia razem pokrywają zapotrzebowanie na chłód.</t>
  </si>
  <si>
    <t xml:space="preserve">ID urządzenia</t>
  </si>
  <si>
    <t xml:space="preserve">Typ / czynnik</t>
  </si>
  <si>
    <t xml:space="preserve">Q_c [kW]</t>
  </si>
  <si>
    <t xml:space="preserve">EER nom.</t>
  </si>
  <si>
    <t xml:space="preserve">Rola (podstawowe/szczytowe/rez.)</t>
  </si>
  <si>
    <t xml:space="preserve">SUMA SYSTEMU</t>
  </si>
  <si>
    <t xml:space="preserve">A-01</t>
  </si>
  <si>
    <t xml:space="preserve">Łączna moc chłodnicza zainstalowana [kW]</t>
  </si>
  <si>
    <t xml:space="preserve">kW</t>
  </si>
  <si>
    <t xml:space="preserve">Suma Q_c ze wszystkich urządzeń w tabeli powyżej</t>
  </si>
  <si>
    <t xml:space="preserve">A-02</t>
  </si>
  <si>
    <t xml:space="preserve">Maksymalne zapotrzebowanie na chłód zakładu [kW]</t>
  </si>
  <si>
    <t xml:space="preserve">Z projektu lub obliczenia audytorskiego. Wskaźnik przewymiarowania = A-01/A-02</t>
  </si>
  <si>
    <t xml:space="preserve">A-03</t>
  </si>
  <si>
    <t xml:space="preserve">Rok instalacji / modernizacji systemu chłodzenia</t>
  </si>
  <si>
    <t xml:space="preserve">rok</t>
  </si>
  <si>
    <t xml:space="preserve">Najstarszy element systemu</t>
  </si>
  <si>
    <t xml:space="preserve">A-04</t>
  </si>
  <si>
    <t xml:space="preserve">Czy system ma free cooling (chłodzenie bez sprężarek)?</t>
  </si>
  <si>
    <t xml:space="preserve">TAK — typ (adiabatyczny / płytowy / dry cooler) / NIE
Free cooling aktywny gdy T_zewn &lt; T_woda_lodowa - ΔT_wymiennika</t>
  </si>
  <si>
    <t xml:space="preserve">A-05</t>
  </si>
  <si>
    <t xml:space="preserve">Czy system ma wieżę chłodniczą (do skraplacza wodnego)?</t>
  </si>
  <si>
    <t xml:space="preserve">TAK — ile wież i łączna wydajność [kW] / NIE — skraplacze powietrzne</t>
  </si>
  <si>
    <t xml:space="preserve">  BLOK B — SIEĆ DYSTRYBUCJI WODY LODOWEJ</t>
  </si>
  <si>
    <t xml:space="preserve">B-01</t>
  </si>
  <si>
    <t xml:space="preserve">Temperatura wody lodowej — zasilanie systemu [°C]</t>
  </si>
  <si>
    <t xml:space="preserve">°C</t>
  </si>
  <si>
    <t xml:space="preserve">Rzeczywista temperatura dostarczana do odbiorców. Obniżenie o 1°C = ~3% więcej energii</t>
  </si>
  <si>
    <t xml:space="preserve">B-02</t>
  </si>
  <si>
    <t xml:space="preserve">Temperatura wody lodowej — powrót do chillera [°C]</t>
  </si>
  <si>
    <t xml:space="preserve">Różnica zasilanie-powrót = ΔT. Optymalne ΔT: 5-8°C. Małe ΔT = za duży przepływ = straty na pompach</t>
  </si>
  <si>
    <t xml:space="preserve">B-03</t>
  </si>
  <si>
    <t xml:space="preserve">Czy rury wody lodowej są zaizolowane?</t>
  </si>
  <si>
    <t xml:space="preserve">TAK — cała trasa / Częściowo / NIE. Niezaizolowane rury = kondensacja pary wodnej = zawilgocenie izolacji + zyski ciepła</t>
  </si>
  <si>
    <t xml:space="preserve">B-04</t>
  </si>
  <si>
    <t xml:space="preserve">Czy są pompy cyrkulacyjne z regulowaną prędkością (EC/VFD)?</t>
  </si>
  <si>
    <t xml:space="preserve">TAK / NIE. Pompy EC zużywają 30-60% mniej energii przy zmiennym zapotrzebowaniu</t>
  </si>
  <si>
    <t xml:space="preserve">B-05</t>
  </si>
  <si>
    <t xml:space="preserve">Łączna moc pomp cyrkulacyjnych wody lodowej [kW]</t>
  </si>
  <si>
    <t xml:space="preserve">Suma mocy wszystkich pomp (głównych + obiegowych strefowych)</t>
  </si>
  <si>
    <t xml:space="preserve">B-06</t>
  </si>
  <si>
    <t xml:space="preserve">Czy są rozdzielacze strefowe z regulacją przepływu?</t>
  </si>
  <si>
    <t xml:space="preserve">TAK — zawory równoważące lub VRV / NIE. Brak regulacji = nierównomierna dystrybucja chłodu</t>
  </si>
  <si>
    <t xml:space="preserve">B-07</t>
  </si>
  <si>
    <t xml:space="preserve">Czy system ma akumulator chłodu (zbiornik buforowy)?</t>
  </si>
  <si>
    <t xml:space="preserve">TAK — pojemność [m³ lub MWh] / NIE. Bufor = możliwość przesunięcia pracy chillera na tańsze taryfy</t>
  </si>
  <si>
    <t xml:space="preserve">  BLOK C — STEROWANIE I AUTOMATYKA SYSTEMU</t>
  </si>
  <si>
    <t xml:space="preserve">C-01</t>
  </si>
  <si>
    <t xml:space="preserve">Czy system ma centralny sterownik zarządzający chillerami (master controller)?</t>
  </si>
  <si>
    <t xml:space="preserve">TAK — marka/model (np. Trane Tracer, Carrier CCN, York YorkCentral) / NIE</t>
  </si>
  <si>
    <t xml:space="preserve">C-02</t>
  </si>
  <si>
    <t xml:space="preserve">Czy chillers pracują kaskadowo (jeden startuje gdy drugi nie wystarczy)?</t>
  </si>
  <si>
    <t xml:space="preserve">TAK — automatyczna kaskada / NIE — ręczne przełączanie. Brak kaskady = przewymiarowanie w pracy</t>
  </si>
  <si>
    <t xml:space="preserve">C-03</t>
  </si>
  <si>
    <t xml:space="preserve">Czy jest automatyczna regulacja temperatury wody lodowej wg obciążenia?</t>
  </si>
  <si>
    <t xml:space="preserve">TAK (reset set-pointu) / NIE — stała temperatura niezależnie od obciążenia
Podwyższenie set-pointu o 1°C przy niskim obciążeniu = ~3% oszczędności</t>
  </si>
  <si>
    <t xml:space="preserve">C-04</t>
  </si>
  <si>
    <t xml:space="preserve">Czy zaplanowany harmonogram pracy (wyłączenie w nocy / weekendy)?</t>
  </si>
  <si>
    <t xml:space="preserve">TAK — aktywny harmonogram / NIE — praca 24/7 niezależnie od zapotrzebowania</t>
  </si>
  <si>
    <t xml:space="preserve">C-05</t>
  </si>
  <si>
    <t xml:space="preserve">Czy jest monitoring zużycia energii przez system chłodzenia (SCADA/BMS)?</t>
  </si>
  <si>
    <t xml:space="preserve">TAK — platforma (np. Siemens, Honeywell, ABB) / NIE — brak monitoringu</t>
  </si>
  <si>
    <t xml:space="preserve">C-06</t>
  </si>
  <si>
    <t xml:space="preserve">Czy są ciepłomierze chłodnicze przy głównych odbiorcach?</t>
  </si>
  <si>
    <t xml:space="preserve">TAK — ile stref / NIE — tylko jeden główny / Brak ciepłomierzy
ISO 50001: ciepłomierze wymagane dla SEU</t>
  </si>
  <si>
    <t xml:space="preserve">  BLOK D — DANE ENERGETYCZNE I KOSZTY SYSTEMU</t>
  </si>
  <si>
    <t xml:space="preserve">D-01</t>
  </si>
  <si>
    <t xml:space="preserve">Roczne zużycie energii elektrycznej przez system chłodzenia [kWh/rok]</t>
  </si>
  <si>
    <t xml:space="preserve">kWh/rok</t>
  </si>
  <si>
    <t xml:space="preserve">Z licznika dedykowanego lub z faktur jeśli wyodrębniony. Jeśli brak — szacuj</t>
  </si>
  <si>
    <t xml:space="preserve">D-02</t>
  </si>
  <si>
    <t xml:space="preserve">Roczna produkcja chłodu (z ciepłomierza głównego) [MWh/rok]</t>
  </si>
  <si>
    <t xml:space="preserve">MWh/rok</t>
  </si>
  <si>
    <t xml:space="preserve">Z ciepłomierza chłodniczego. Przelicznik: 1 GJ = 0.278 MWh</t>
  </si>
  <si>
    <t xml:space="preserve">D-03</t>
  </si>
  <si>
    <t xml:space="preserve">Roczny czas pracy systemu chłodzenia [h/rok]</t>
  </si>
  <si>
    <t xml:space="preserve">h/rok</t>
  </si>
  <si>
    <t xml:space="preserve">Liczba godzin gdy przynajmniej jeden chiller pracuje. Typowo 2000-6000 h/rok</t>
  </si>
  <si>
    <t xml:space="preserve">D-04</t>
  </si>
  <si>
    <t xml:space="preserve">Roczny koszt energii elektrycznej systemu chłodzenia [zł/rok]</t>
  </si>
  <si>
    <t xml:space="preserve">zł/rok</t>
  </si>
  <si>
    <t xml:space="preserve">Suma faktur za energię dla chłodzenia za 12 miesięcy</t>
  </si>
  <si>
    <t xml:space="preserve">D-05</t>
  </si>
  <si>
    <t xml:space="preserve">Jaki % zużycia chłodu przypada na procesy technologiczne?</t>
  </si>
  <si>
    <t xml:space="preserve">%</t>
  </si>
  <si>
    <t xml:space="preserve">Szacunek lub z podliczników. Reszta = komfort (klimatyzacja pomieszczeń)</t>
  </si>
  <si>
    <t xml:space="preserve">D-06</t>
  </si>
  <si>
    <t xml:space="preserve">Jaki % zużycia chłodu to klimatyzacja komfortowa biur/hal?</t>
  </si>
  <si>
    <t xml:space="preserve">D-07</t>
  </si>
  <si>
    <t xml:space="preserve">Sezon chłodniczy — ile miesięcy w roku pracuje chłodzenie?</t>
  </si>
  <si>
    <t xml:space="preserve">mies.</t>
  </si>
  <si>
    <t xml:space="preserve">Typowo: klimatyzacja komfortu 5-6 mies. / chłodzenie procesowe 8-12 mies.</t>
  </si>
  <si>
    <t xml:space="preserve">  BLOK Z — COMPLIANCE SYSTEMOWY: F-GAZ + USTAWA CHAR. ENERG. + ECODESIGN  ★★ NIEZGODNOŚCI</t>
  </si>
  <si>
    <t xml:space="preserve">COMPLIANCE CHŁODZENIE — 3 REŻIMY PRAWNE:
1) Ustawa 29.08.2014 o char. energet. budynków — kontrola co 5 lat dla systemów klimatyzacji/chłodzenia &gt;70 kW mocy chłodniczej
2) Rozporządzenie UE 517/2014 (F-gaz) — karta urządzenia, kontrole szczelności, rejestr SZWO/F-gaz (BDO)
3) Rozporządzenie UE 2016/2281 (Ecodesign) — minimalne EER/SEER dla urządzeń od 2021 r.</t>
  </si>
  <si>
    <t xml:space="preserve">Z-01</t>
  </si>
  <si>
    <t xml:space="preserve">Czy wszystkie urządzenia chłodnicze &gt;70 kW mają aktualną kontrolę wg ustawy o char. energet. budynków?</t>
  </si>
  <si>
    <t xml:space="preserve">TAK — dla wszystkich / TAK — dla niektórych (które?) / NIE — NIEZGODNOŚĆ
Kontrola co 5 lat dla systemów klimatyzacji/chłodzenia &gt;70 kW mocy chłodniczej</t>
  </si>
  <si>
    <t xml:space="preserve">Z-02</t>
  </si>
  <si>
    <t xml:space="preserve">Lista urządzeń BEZ aktualnej kontroli wg ustawy (podaj ID z tabeli Bloku A)</t>
  </si>
  <si>
    <t xml:space="preserve">np. COOL-02, COOL-04. BRAK = wszystkie zgodne. Lista → wpis do Z-ZSZ-REG-01</t>
  </si>
  <si>
    <t xml:space="preserve">Z-03</t>
  </si>
  <si>
    <t xml:space="preserve">Numery protokołów z Centralnego Rejestru e-CR dla wszystkich urządzeń</t>
  </si>
  <si>
    <t xml:space="preserve">Format: XX/RRRR/NNNNNN. Weryfikacja: rejestry.seq.gov.pl/seep
Brak wpisu = protokół nieważny od 28.04.2023 r.</t>
  </si>
  <si>
    <t xml:space="preserve">Z-04</t>
  </si>
  <si>
    <t xml:space="preserve">Czy wszystkie urządzenia z F-gazem mają karty BDO?</t>
  </si>
  <si>
    <t xml:space="preserve">TAK / NIE — które brakuje (podaj ID). Karta BDO wymagana art. 6 Rozp. UE 517/2014</t>
  </si>
  <si>
    <t xml:space="preserve">Z-05</t>
  </si>
  <si>
    <t xml:space="preserve">Czy kontrole szczelności F-gaz są wykonywane zgodnie z wymaganą częstotliwością?</t>
  </si>
  <si>
    <t xml:space="preserve">TAK / NIE — które urządzenia mają zalegające kontrole szczelności
Kara: do 30 000 zł za brak kontroli F-gaz</t>
  </si>
  <si>
    <t xml:space="preserve">Z-06</t>
  </si>
  <si>
    <t xml:space="preserve">Czy zakład posiada umowę ESCO obejmującą system chłodzenia?</t>
  </si>
  <si>
    <t xml:space="preserve">TAK (ESCO) → możliwe zwolnienie z kontroli wg ustawy char. energ.
NIE → kontrola obowiązkowa dla wszystkich urządzeń &gt;70 kW</t>
  </si>
  <si>
    <t xml:space="preserve">Z-07</t>
  </si>
  <si>
    <t xml:space="preserve">Najwcześniejszy termin obowiązkowej kontroli wg ustawy (dla całego systemu)</t>
  </si>
  <si>
    <t xml:space="preserve">Data DD.MM.RRRR — oblicz: data_ostatniej_kontroli + 5 lat
To jest termin do monitorowania — Energy Manager odpowiada za dotrzymanie</t>
  </si>
  <si>
    <t xml:space="preserve">Z-08</t>
  </si>
  <si>
    <t xml:space="preserve">STWIERDZONE NIEZGODNOŚCI SYSTEMOWE — lista do Z-ZSZ-REG-01</t>
  </si>
  <si>
    <t xml:space="preserve">Przykład: 'COOL-02 — brak karty BDO; COOL-04 — termin kontroli minął 3 miesiące temu'
BRAK = wszystkie wymagania spełnione</t>
  </si>
  <si>
    <t xml:space="preserve">  ENESA  ·  A-EnMS-COOL-SYS-01  ·  ANKIETA ETAP 1  ·  v3.0  ·  UE 517/2014 · Ustawa 29.08.2014 · UE 2016/2281</t>
  </si>
  <si>
    <t xml:space="preserve">ENESA  ·  PASZPORT SYSTEMU CHŁODZENIA  ·  A-EnMS-COOL-SYS-01  ·  ETAP 2 OBLICZENIA</t>
  </si>
  <si>
    <t xml:space="preserve">Wypełnia: Energy Manager + Konsultant  ·  Pola NIEBIESKIE = wpisz  ·  Pola SZARE = formuły</t>
  </si>
  <si>
    <t xml:space="preserve">Parametr / Obliczenie</t>
  </si>
  <si>
    <t xml:space="preserve">Wartość</t>
  </si>
  <si>
    <t xml:space="preserve">Norma / Źródło</t>
  </si>
  <si>
    <t xml:space="preserve">Komentarz / Wzór</t>
  </si>
  <si>
    <t xml:space="preserve">  SEKCJA 1 — ZESTAWIENIE URZĄDZEŃ CHŁODNICZYCH SYSTEMU</t>
  </si>
  <si>
    <t xml:space="preserve">E_el [MWh/rok]</t>
  </si>
  <si>
    <t xml:space="preserve">Status F-gaz + e-CR</t>
  </si>
  <si>
    <t xml:space="preserve">  SEKCJA 2 — INPUTY ENERGETYCZNE SYSTEMU</t>
  </si>
  <si>
    <t xml:space="preserve">E_el system [kWh/rok] — z licznika</t>
  </si>
  <si>
    <t xml:space="preserve">Licznik el. / Etap1 D-01</t>
  </si>
  <si>
    <t xml:space="preserve">Q_chłód system [kWh/rok] — z ciepłomierza</t>
  </si>
  <si>
    <t xml:space="preserve">Ciepłomierz / Etap1 D-02×1000</t>
  </si>
  <si>
    <t xml:space="preserve">E_el pompy cyrkulacyjne [kWh/rok]</t>
  </si>
  <si>
    <t xml:space="preserve">Licznik pomp / szacunek</t>
  </si>
  <si>
    <t xml:space="preserve">Szacunek: P_pomp[kW] × T_pracy. Pompy wody lodowej często 5-15% zużycia chillerów</t>
  </si>
  <si>
    <t xml:space="preserve">E_el wieże chłodnicze [kWh/rok]</t>
  </si>
  <si>
    <t xml:space="preserve">Licznik wież / szacunek</t>
  </si>
  <si>
    <t xml:space="preserve">Jeśli są wieże. Wpisz 0 jeśli tylko skraplacze powietrzne</t>
  </si>
  <si>
    <t xml:space="preserve">T_pracy systemu [h/rok]</t>
  </si>
  <si>
    <t xml:space="preserve">Etap1 D-03</t>
  </si>
  <si>
    <t xml:space="preserve">Cena energii elektrycznej [zł/kWh]</t>
  </si>
  <si>
    <t xml:space="preserve">zł/kWh</t>
  </si>
  <si>
    <t xml:space="preserve">Faktura energii</t>
  </si>
  <si>
    <t xml:space="preserve">Powierzchnia obsługiwana chłodzeniem [m²]</t>
  </si>
  <si>
    <t xml:space="preserve">m²</t>
  </si>
  <si>
    <t xml:space="preserve">Projekt</t>
  </si>
  <si>
    <t xml:space="preserve">  SEKCJA 3 — OBLICZENIA SYSTEMOWE (formuły Excel)</t>
  </si>
  <si>
    <t xml:space="preserve">  EER_system = Q_chłód / E_el_system  ·  SCOP_system = Q_chłód / (E_el_chillers + E_el_pompy + E_el_wieże)  ·  EnPI_pow = E_el / pow_obsługiwana [kWh_el/m²/rok]</t>
  </si>
  <si>
    <t xml:space="preserve">E_el_TOTAL — łączna energia systemu (chillers+pompy+wieże)</t>
  </si>
  <si>
    <t xml:space="preserve">OBLICZONA</t>
  </si>
  <si>
    <t xml:space="preserve"> = E_el_chillery + E_pompy + E_wieże</t>
  </si>
  <si>
    <t xml:space="preserve">EER_system rzeczywisty</t>
  </si>
  <si>
    <t xml:space="preserve">OBLICZONA · EN 14511</t>
  </si>
  <si>
    <t xml:space="preserve"> = Q_chłód / E_el_chillery. Benchmark: &lt;2.5 zły · 2.5-3.5 śr. · &gt;3.5 dobry</t>
  </si>
  <si>
    <t xml:space="preserve">SCOP_system (z pełnym bilansem)</t>
  </si>
  <si>
    <t xml:space="preserve"> = Q_chłód / E_el_TOTAL. Pełniejszy wskaźnik niż EER</t>
  </si>
  <si>
    <t xml:space="preserve">EnPI_el powierzchniowy [kWh_el/m²/rok]</t>
  </si>
  <si>
    <t xml:space="preserve">kWh/m²/rok</t>
  </si>
  <si>
    <t xml:space="preserve"> Benchmark: biura &lt;20 · hale lekkie &lt;30 · procesy &lt;80 · data center &lt;200</t>
  </si>
  <si>
    <t xml:space="preserve">Koszt energii systemu chłodzenia [zł/rok]</t>
  </si>
  <si>
    <t xml:space="preserve">Walidacja |ΔE| bottom-up vs licznik [%]</t>
  </si>
  <si>
    <t xml:space="preserve">OBLICZONA · P-EnMS-02</t>
  </si>
  <si>
    <t xml:space="preserve"> |ΔE| = |E_licznik - Σ E_urządzeń| / E_licznik × 100</t>
  </si>
  <si>
    <t xml:space="preserve">Decyzja modelu bottom-up</t>
  </si>
  <si>
    <t xml:space="preserve">Potencjał free cooling [kWh/rok]</t>
  </si>
  <si>
    <t xml:space="preserve">Szacunek</t>
  </si>
  <si>
    <t xml:space="preserve">Jeśli nie ma: szacuj 20-40% E_el_system jeśli T_zewn &lt;12°C przez &gt;3000h/rok</t>
  </si>
  <si>
    <t xml:space="preserve">Potencjał set-point reset [kWh/rok]</t>
  </si>
  <si>
    <t xml:space="preserve">Szacunek ENESA</t>
  </si>
  <si>
    <t xml:space="preserve"> ~5% oszczędności przez automatyczny reset temperatury wody lodowej wg obciążenia</t>
  </si>
  <si>
    <t xml:space="preserve">  SEKCJA 4 — COMPLIANCE SYSTEMOWY: F-GAZ + USTAWA + ECODESIGN</t>
  </si>
  <si>
    <t xml:space="preserve">  TABELA COMPLIANCE SYSTEMU — wypełnij dla każdego urządzenia chłodniczego:</t>
  </si>
  <si>
    <t xml:space="preserve">Karta BDO (TAK/NIE)</t>
  </si>
  <si>
    <t xml:space="preserve">Data kontroli szczelności</t>
  </si>
  <si>
    <t xml:space="preserve">Data kontroli wg ustawy</t>
  </si>
  <si>
    <t xml:space="preserve">STATUS</t>
  </si>
  <si>
    <t xml:space="preserve">STATUS COMPLIANCE SYSTEMU CHŁODZENIA</t>
  </si>
  <si>
    <t xml:space="preserve">OBLICZONA · KLUCZOWE</t>
  </si>
  <si>
    <t xml:space="preserve">Niezgodności do Z-ZSZ-REG-01</t>
  </si>
  <si>
    <t xml:space="preserve">Etap1 Z-08</t>
  </si>
  <si>
    <t xml:space="preserve">Przepisz z Z-08. Każda niezgodność = wpis do Rejestru Wymagań Prawnych</t>
  </si>
  <si>
    <t xml:space="preserve">  ENESA  ·  A-EnMS-COOL-SYS-01  ·  ETAP 2  ·  v3.0  ·  UE 517/2014 · Ustawa 29.08.2014 · UE 2016/2281</t>
  </si>
  <si>
    <t xml:space="preserve">PASZPORT SYSTEMU CHŁODZENIA  ·  A-EnMS-COOL-SYS-01</t>
  </si>
  <si>
    <t xml:space="preserve">ISO 50001  ·  ENESA  ·  UE 517/2014 F-gaz  ·  UE 2016/2281 Ecodesign  ·  Wersja 3.0</t>
  </si>
  <si>
    <t xml:space="preserve">ID SYSTEMU:</t>
  </si>
  <si>
    <t xml:space="preserve">Data:</t>
  </si>
  <si>
    <t xml:space="preserve">Status:</t>
  </si>
  <si>
    <t xml:space="preserve">  1.  IDENTYFIKACJA SYSTEMU</t>
  </si>
  <si>
    <t xml:space="preserve">Zakład</t>
  </si>
  <si>
    <t xml:space="preserve">[z nagłówka]</t>
  </si>
  <si>
    <t xml:space="preserve">Łączna moc chłodnicza [kW]</t>
  </si>
  <si>
    <t xml:space="preserve">[z DTR Sek.1 SUMA]</t>
  </si>
  <si>
    <t xml:space="preserve">Moc szczytowego zapotrzebowania [kW]</t>
  </si>
  <si>
    <t xml:space="preserve">[z Etap1 A-02]</t>
  </si>
  <si>
    <t xml:space="preserve">Wskaźnik przewymiarowania</t>
  </si>
  <si>
    <t xml:space="preserve">[= A-01/A-02]</t>
  </si>
  <si>
    <t xml:space="preserve">Free cooling</t>
  </si>
  <si>
    <t xml:space="preserve">[z Etap1 A-04]</t>
  </si>
  <si>
    <t xml:space="preserve">Wieże chłodnicze</t>
  </si>
  <si>
    <t xml:space="preserve">[z Etap1 A-05]</t>
  </si>
  <si>
    <t xml:space="preserve">Pompy EC (oszczędnościowe)</t>
  </si>
  <si>
    <t xml:space="preserve">[z Etap1 B-04]</t>
  </si>
  <si>
    <t xml:space="preserve">Akumulator chłodu</t>
  </si>
  <si>
    <t xml:space="preserve">[z Etap1 B-07]</t>
  </si>
  <si>
    <t xml:space="preserve">Monitoring BMS/SCADA</t>
  </si>
  <si>
    <t xml:space="preserve">[z Etap1 C-05]</t>
  </si>
  <si>
    <t xml:space="preserve">  2.  KLUCZOWE WSKAŹNIKI EnPI SYSTEMU CHŁODZENIA  ★</t>
  </si>
  <si>
    <t xml:space="preserve">Wskaźnik</t>
  </si>
  <si>
    <t xml:space="preserve">Jednostka</t>
  </si>
  <si>
    <t xml:space="preserve">Benchmark</t>
  </si>
  <si>
    <t xml:space="preserve">Klasyfikacja</t>
  </si>
  <si>
    <t xml:space="preserve">EER_system (rzeczywisty)</t>
  </si>
  <si>
    <t xml:space="preserve">[z DTR Sek.3]</t>
  </si>
  <si>
    <t xml:space="preserve">&lt;2.5 zły · 2.5-3.5 przeciętny · &gt;3.5 dobry · &gt;5.0 bardzo dobry</t>
  </si>
  <si>
    <t xml:space="preserve">[auto]</t>
  </si>
  <si>
    <t xml:space="preserve">SCOP_system (pełny bilans)</t>
  </si>
  <si>
    <t xml:space="preserve">Uwzględnia pompy i wieże. Im wyższy tym lepszy</t>
  </si>
  <si>
    <t xml:space="preserve">EnPI_el [kWh_el/m²/rok]</t>
  </si>
  <si>
    <t xml:space="preserve">Biura &lt;20 · Hale &lt;30 · Procesy &lt;80 · DC &lt;200</t>
  </si>
  <si>
    <t xml:space="preserve">Walidacja |ΔE| [%]</t>
  </si>
  <si>
    <t xml:space="preserve">≤5% zatwierdzony · &gt;10% odrzucony</t>
  </si>
  <si>
    <t xml:space="preserve">Koszt energii chłodzenia [zł/rok]</t>
  </si>
  <si>
    <t xml:space="preserve">Potencjał free cooling</t>
  </si>
  <si>
    <t xml:space="preserve">20-40% E_el jeśli brak</t>
  </si>
  <si>
    <t xml:space="preserve">Potencjał set-point reset</t>
  </si>
  <si>
    <t xml:space="preserve">~5% E_el</t>
  </si>
  <si>
    <t xml:space="preserve">  3.  COMPLIANCE SYSTEMOWY — F-GAZ + USTAWA + ECODESIGN  ★★</t>
  </si>
  <si>
    <t xml:space="preserve">Wymaganie</t>
  </si>
  <si>
    <t xml:space="preserve">Stan</t>
  </si>
  <si>
    <t xml:space="preserve">STATUS SYSTEMU</t>
  </si>
  <si>
    <t xml:space="preserve">Podstawa prawna</t>
  </si>
  <si>
    <t xml:space="preserve">STATUS COMPLIANCE SYSTEMU</t>
  </si>
  <si>
    <t xml:space="preserve">[z DTR Sek.4]</t>
  </si>
  <si>
    <t xml:space="preserve">[AUTO]</t>
  </si>
  <si>
    <t xml:space="preserve">F-gaz + Ustawa char.energ.</t>
  </si>
  <si>
    <t xml:space="preserve">Urządzenia z kartą BDO</t>
  </si>
  <si>
    <t xml:space="preserve">szt./szt.</t>
  </si>
  <si>
    <t xml:space="preserve">Art.6 Rozp.UE 517/2014</t>
  </si>
  <si>
    <t xml:space="preserve">Urządzenia z aktualną kontr. szczelności</t>
  </si>
  <si>
    <t xml:space="preserve">Art.4 Rozp.UE 517/2014</t>
  </si>
  <si>
    <t xml:space="preserve">Urządzenia z kontrolą wg ustawy (e-CR)</t>
  </si>
  <si>
    <t xml:space="preserve">Art.23 Ustawy 29.08.2014</t>
  </si>
  <si>
    <t xml:space="preserve">Najwcześniejszy termin kolejnej kontroli</t>
  </si>
  <si>
    <t xml:space="preserve">[z Etap1 Z-07]</t>
  </si>
  <si>
    <t xml:space="preserve">co 5 lat od ostatniej</t>
  </si>
  <si>
    <t xml:space="preserve">Wyłączenie z kontroli (ESCO)</t>
  </si>
  <si>
    <t xml:space="preserve">[z Etap1 Z-06]</t>
  </si>
  <si>
    <t xml:space="preserve">Art.23 ust.4 ustawy</t>
  </si>
  <si>
    <t xml:space="preserve">Niezgodności → Z-ZSZ-REG-01</t>
  </si>
  <si>
    <t xml:space="preserve">[z Etap1 Z-08]</t>
  </si>
  <si>
    <t xml:space="preserve">Każda = wpis do rejestru</t>
  </si>
  <si>
    <t xml:space="preserve">  4.  ZESTAWIENIE URZĄDZEŃ</t>
  </si>
  <si>
    <t xml:space="preserve">ID / Urządzenie</t>
  </si>
  <si>
    <t xml:space="preserve">Status F+e-CR</t>
  </si>
  <si>
    <t xml:space="preserve">[COOL-01]</t>
  </si>
  <si>
    <t xml:space="preserve">[COOL-02]</t>
  </si>
  <si>
    <t xml:space="preserve">[COOL-03]</t>
  </si>
  <si>
    <t xml:space="preserve">[COOL-04]</t>
  </si>
  <si>
    <t xml:space="preserve">[COOL-05]</t>
  </si>
  <si>
    <t xml:space="preserve">[COOL-06]</t>
  </si>
  <si>
    <t xml:space="preserve">[COOL-07]</t>
  </si>
  <si>
    <t xml:space="preserve">  5.  ZATWIERDZENIE PASZPORTU SYSTEMU</t>
  </si>
  <si>
    <t xml:space="preserve">Energy Manager:</t>
  </si>
  <si>
    <t xml:space="preserve">Podpis: ________________</t>
  </si>
  <si>
    <t xml:space="preserve">________________</t>
  </si>
  <si>
    <t xml:space="preserve">Konsultant ENESA:</t>
  </si>
  <si>
    <t xml:space="preserve">  ENESA  ·  A-EnMS-COOL-SYS-01  ·  Paszport Systemu Chłodzenia  ·  v3.0</t>
  </si>
  <si>
    <t xml:space="preserve">ENESA  ·  SYSTEM PROMPT — AGENT 1  ·  CHŁODZENIE COOL</t>
  </si>
  <si>
    <t xml:space="preserve">Skopiuj od wiersza 5 do ###DANE_KOMPLETNE### do konfiguracji Agenta 1</t>
  </si>
  <si>
    <t xml:space="preserve">⚠️  Blok Z = compliance F-gaz i ustawa o char.energet. — Agent pyta ZAWSZE, niezależnie od typu urządzenia</t>
  </si>
  <si>
    <t xml:space="preserve">── POCZĄTEK SYSTEM PROMPTU ──</t>
  </si>
  <si>
    <t xml:space="preserve">Jesteś Agentem 1 (Scout) ENESA — przeprowadzasz SYSTEMOWY przegląd systemu chłodzenia zakładu.</t>
  </si>
  <si>
    <t xml:space="preserve">Rozmawiasz z Energy Managerem lub Konsultantem ENESA.</t>
  </si>
  <si>
    <t xml:space="preserve"> === RÓŻNICA WOBEC PASZPORTU URZĄDZENIA COOL ===</t>
  </si>
  <si>
    <t xml:space="preserve">Paszport urządzenia (A-EnMS-COOL-01): inwentaryzacja jednego agregatu przez pracownika UR.</t>
  </si>
  <si>
    <t xml:space="preserve">Ten paszport (A-EnMS-COOL-SYS-01): systemowy przegląd całego systemu chłodzenia zakładu.</t>
  </si>
  <si>
    <t xml:space="preserve">Wymagane: struktura źródeł chłodu, sieć dystrybucji, sterowanie, zużycie energii (faktury).</t>
  </si>
  <si>
    <t xml:space="preserve"> === BLOK A — ZESTAWIENIE URZĄDZEŃ (tabela + A-01 do A-05) ===</t>
  </si>
  <si>
    <t xml:space="preserve">Tabela: ID, typ/czynnik, Q_c [kW], EER nominalny, rola systemu.</t>
  </si>
  <si>
    <t xml:space="preserve">A-01: łączna moc chłodnicza. A-02: szczytowe zapotrzebowanie. A-03: wiek systemu.</t>
  </si>
  <si>
    <t xml:space="preserve">A-04: free cooling (TAK/NIE — typ). A-05: wieże chłodnicze.</t>
  </si>
  <si>
    <t xml:space="preserve"> === BLOK B — SIEĆ DYSTRYBUCJI (B-01 do B-07) ===</t>
  </si>
  <si>
    <t xml:space="preserve">B-01/B-02: temperatury wody lodowej zasilanie/powrót — ΔT optymalne 5-8°C.</t>
  </si>
  <si>
    <t xml:space="preserve">B-03: izolacja rur wody lodowej. B-04: pompy EC. B-05: moc pomp.</t>
  </si>
  <si>
    <t xml:space="preserve">B-06: regulatory przepływu. B-07: akumulator chłodu.</t>
  </si>
  <si>
    <t xml:space="preserve"> === BLOK C — STEROWANIE (C-01 do C-06) ===</t>
  </si>
  <si>
    <t xml:space="preserve">C-01: master controller. C-02: kaskada. C-03: set-point reset.</t>
  </si>
  <si>
    <t xml:space="preserve">C-04: harmonogram. C-05: monitoring BMS/SCADA. C-06: ciepłomierze strefowe.</t>
  </si>
  <si>
    <t xml:space="preserve"> === BLOK D — DANE ENERGETYCZNE (D-01 do D-07) ===</t>
  </si>
  <si>
    <t xml:space="preserve">D-01: E_el [kWh/rok]. D-02: Q_chłód [MWh/rok]. D-03: T_pracy [h/rok].</t>
  </si>
  <si>
    <t xml:space="preserve">D-04: koszt łączny. D-05/D-06: podział % procesy/komfort. D-07: sezon chłodniczy.</t>
  </si>
  <si>
    <t xml:space="preserve"> === BLOK Z — COMPLIANCE SYSTEMOWY (Z-01 do Z-08) — ZAWSZE ===</t>
  </si>
  <si>
    <t xml:space="preserve">Z-01: wszystkie urządzenia &gt;70 kW mają aktualną kontrolę wg ustawy char.energ.?</t>
  </si>
  <si>
    <t xml:space="preserve">Z-02: lista urządzeń BEZ kontroli → wpis do rejestru wymagań Z-ZSZ-REG-01.</t>
  </si>
  <si>
    <t xml:space="preserve">Z-03: numery protokołów e-CR dla wszystkich urządzeń.</t>
  </si>
  <si>
    <t xml:space="preserve">Z-04: wszystkie urządzenia z F-gazem mają karty BDO?</t>
  </si>
  <si>
    <t xml:space="preserve">Z-05: kontrole szczelności F-gaz wykonywane zgodnie z wymaganą częstotliwością?</t>
  </si>
  <si>
    <t xml:space="preserve">Z-06: umowa ESCO (zwolnienie z kontroli)?</t>
  </si>
  <si>
    <t xml:space="preserve">Z-07: najwcześniejszy termin kolejnej kontroli wg ustawy.</t>
  </si>
  <si>
    <t xml:space="preserve">Z-08: lista niezgodności do Z-ZSZ-REG-01.</t>
  </si>
  <si>
    <t xml:space="preserve">Wpisz: ###DANE_KOMPLETNE###</t>
  </si>
  <si>
    <t xml:space="preserve"> === MAPOWANIE JSON ===</t>
  </si>
  <si>
    <t xml:space="preserve">{</t>
  </si>
  <si>
    <t xml:space="preserve">  'total_cooling_kw': 'A-01', 'peak_demand_kw': 'A-02',</t>
  </si>
  <si>
    <t xml:space="preserve">  'system_age': 'A-03', 'has_free_cooling': 'A-04', 'has_cooling_tower': 'A-05',</t>
  </si>
  <si>
    <t xml:space="preserve">  'water_temp_supply': 'B-01', 'water_temp_return': 'B-02',</t>
  </si>
  <si>
    <t xml:space="preserve">  'pipes_insulated': 'B-03', 'has_ec_pumps': 'B-04', 'pump_power_kw': 'B-05',</t>
  </si>
  <si>
    <t xml:space="preserve">  'has_buffer_tank': 'B-07',</t>
  </si>
  <si>
    <t xml:space="preserve">  'has_master_controller': 'C-01', 'has_cascade': 'C-02',</t>
  </si>
  <si>
    <t xml:space="preserve">  'has_setpoint_reset': 'C-03', 'has_bms': 'C-05', 'has_zone_meters': 'C-06',</t>
  </si>
  <si>
    <t xml:space="preserve">  'energy_kwh_year': 'D-01', 'heat_meter_mwh': 'D-02', 'operating_hours': 'D-03',</t>
  </si>
  <si>
    <t xml:space="preserve">  'all_inspected_law': 'Z-01', 'missing_inspections': 'Z-02',</t>
  </si>
  <si>
    <t xml:space="preserve">  'ecr_numbers': 'Z-03', 'all_bdo_cards': 'Z-04',</t>
  </si>
  <si>
    <t xml:space="preserve">  'fgas_checks_ok': 'Z-05', 'has_esco': 'Z-06',</t>
  </si>
  <si>
    <t xml:space="preserve">  'next_inspection_deadline': 'Z-07', 'compliance_issues': 'Z-08'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</si>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</sst>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1A6B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3A5C"/>
      <name val="Arial"/>
      <family val="0"/>
      <charset val="1"/>
    </font>
    <font>
      <b val="true"/>
      <sz val="10"/>
      <color rgb="FF1A6B8A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000080"/>
      <name val="Arial"/>
      <family val="0"/>
      <charset val="1"/>
    </font>
    <font>
      <sz val="8"/>
      <color rgb="FF000080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1A6B8A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6B8A"/>
        <bgColor rgb="FF2E6DA4"/>
      </patternFill>
    </fill>
    <fill>
      <patternFill patternType="solid">
        <fgColor rgb="FFD0E8F0"/>
        <bgColor rgb="FFD6E4F0"/>
      </patternFill>
    </fill>
    <fill>
      <patternFill patternType="solid">
        <fgColor rgb="FFFFF2CC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6B8A"/>
      </patternFill>
    </fill>
    <fill>
      <patternFill patternType="solid">
        <fgColor rgb="FF1A7A6E"/>
        <bgColor rgb="FF1A6B8A"/>
      </patternFill>
    </fill>
    <fill>
      <patternFill patternType="solid">
        <fgColor rgb="FFE877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FF2CC"/>
      </patternFill>
    </fill>
    <fill>
      <patternFill patternType="solid">
        <fgColor rgb="FF1A3A5C"/>
        <bgColor rgb="FF333399"/>
      </patternFill>
    </fill>
    <fill>
      <patternFill patternType="solid">
        <fgColor rgb="FFEBF3FB"/>
        <bgColor rgb="FFF0F4F8"/>
      </patternFill>
    </fill>
    <fill>
      <patternFill patternType="solid">
        <fgColor rgb="FFD0EEEB"/>
        <bgColor rgb="FFD0E8F0"/>
      </patternFill>
    </fill>
    <fill>
      <patternFill patternType="solid">
        <fgColor rgb="FFF0F4F8"/>
        <bgColor rgb="FFF4F4F4"/>
      </patternFill>
    </fill>
    <fill>
      <patternFill patternType="solid">
        <fgColor rgb="FFD6E4F0"/>
        <bgColor rgb="FFD0E8F0"/>
      </patternFill>
    </fill>
    <fill>
      <patternFill patternType="solid">
        <fgColor rgb="FFD9F0E0"/>
        <bgColor rgb="FFD0EE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6B8A"/>
      </left>
      <right style="thin">
        <color rgb="FF1A6B8A"/>
      </right>
      <top style="thin">
        <color rgb="FF1A6B8A"/>
      </top>
      <bottom style="thin">
        <color rgb="FF1A6B8A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A7A6E"/>
      <rgbColor rgb="FFCCCCCC"/>
      <rgbColor rgb="FF7F7F7F"/>
      <rgbColor rgb="FF9999FF"/>
      <rgbColor rgb="FF993366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1A6B8A"/>
      <rgbColor rgb="FF0000FF"/>
      <rgbColor rgb="FF00CCFF"/>
      <rgbColor rgb="FFD0E8F0"/>
      <rgbColor rgb="FFD9F0E0"/>
      <rgbColor rgb="FFF4F4F4"/>
      <rgbColor rgb="FFEBF3FB"/>
      <rgbColor rgb="FFF0F4F8"/>
      <rgbColor rgb="FFCC99FF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27.75" hidden="false" customHeight="true" outlineLevel="0" collapsed="false">
      <c r="A6" s="7" t="s">
        <v>11</v>
      </c>
      <c r="B6" s="7"/>
      <c r="C6" s="7"/>
      <c r="D6" s="7"/>
      <c r="E6" s="7"/>
    </row>
    <row r="7" customFormat="false" ht="21.75" hidden="false" customHeight="true" outlineLevel="0" collapsed="false">
      <c r="A7" s="8" t="s">
        <v>12</v>
      </c>
    </row>
    <row r="8" customFormat="false" ht="15" hidden="false" customHeight="false" outlineLevel="0" collapsed="false">
      <c r="B8" s="8" t="s">
        <v>13</v>
      </c>
    </row>
    <row r="9" customFormat="false" ht="15" hidden="false" customHeight="false" outlineLevel="0" collapsed="false">
      <c r="C9" s="8" t="s">
        <v>14</v>
      </c>
    </row>
    <row r="10" customFormat="false" ht="15" hidden="false" customHeight="false" outlineLevel="0" collapsed="false">
      <c r="D10" s="8" t="s">
        <v>15</v>
      </c>
    </row>
    <row r="11" customFormat="false" ht="15" hidden="false" customHeight="false" outlineLevel="0" collapsed="false">
      <c r="E11" s="8" t="s">
        <v>16</v>
      </c>
    </row>
    <row r="12" customFormat="false" ht="21.75" hidden="false" customHeight="true" outlineLevel="0" collapsed="false">
      <c r="A12" s="9"/>
      <c r="B12" s="9"/>
      <c r="C12" s="9"/>
      <c r="D12" s="9"/>
      <c r="E12" s="9"/>
    </row>
    <row r="13" customFormat="false" ht="21.75" hidden="false" customHeight="true" outlineLevel="0" collapsed="false">
      <c r="A13" s="10"/>
      <c r="B13" s="10"/>
      <c r="C13" s="10"/>
      <c r="D13" s="10"/>
      <c r="E13" s="10"/>
    </row>
    <row r="14" customFormat="false" ht="21.75" hidden="false" customHeight="true" outlineLevel="0" collapsed="false">
      <c r="A14" s="9"/>
      <c r="B14" s="9"/>
      <c r="C14" s="9"/>
      <c r="D14" s="9"/>
      <c r="E14" s="9"/>
    </row>
    <row r="15" customFormat="false" ht="21.75" hidden="false" customHeight="true" outlineLevel="0" collapsed="false">
      <c r="A15" s="10"/>
      <c r="B15" s="10"/>
      <c r="C15" s="10"/>
      <c r="D15" s="10"/>
      <c r="E15" s="10"/>
    </row>
    <row r="16" customFormat="false" ht="21.75" hidden="false" customHeight="true" outlineLevel="0" collapsed="false">
      <c r="A16" s="9"/>
      <c r="B16" s="9"/>
      <c r="C16" s="9"/>
      <c r="D16" s="9"/>
      <c r="E16" s="9"/>
    </row>
    <row r="17" customFormat="false" ht="21.75" hidden="false" customHeight="true" outlineLevel="0" collapsed="false">
      <c r="A17" s="10"/>
      <c r="B17" s="10"/>
      <c r="C17" s="10"/>
      <c r="D17" s="10"/>
      <c r="E17" s="10"/>
    </row>
    <row r="18" customFormat="false" ht="21.75" hidden="false" customHeight="true" outlineLevel="0" collapsed="false">
      <c r="A18" s="9"/>
      <c r="B18" s="9"/>
      <c r="C18" s="9"/>
      <c r="D18" s="9"/>
      <c r="E18" s="9"/>
    </row>
    <row r="19" customFormat="false" ht="21.75" hidden="false" customHeight="true" outlineLevel="0" collapsed="false">
      <c r="A19" s="11" t="s">
        <v>17</v>
      </c>
      <c r="B19" s="10"/>
      <c r="C19" s="10"/>
      <c r="D19" s="10"/>
      <c r="E19" s="10"/>
    </row>
    <row r="20" customFormat="false" ht="30" hidden="false" customHeight="true" outlineLevel="0" collapsed="false">
      <c r="A20" s="12" t="s">
        <v>18</v>
      </c>
      <c r="B20" s="13" t="s">
        <v>19</v>
      </c>
      <c r="C20" s="9"/>
      <c r="D20" s="14" t="s">
        <v>20</v>
      </c>
      <c r="E20" s="15" t="s">
        <v>21</v>
      </c>
    </row>
    <row r="21" customFormat="false" ht="30" hidden="false" customHeight="true" outlineLevel="0" collapsed="false">
      <c r="A21" s="12" t="s">
        <v>22</v>
      </c>
      <c r="B21" s="13" t="s">
        <v>23</v>
      </c>
      <c r="C21" s="9"/>
      <c r="D21" s="14" t="s">
        <v>20</v>
      </c>
      <c r="E21" s="15" t="s">
        <v>24</v>
      </c>
    </row>
    <row r="22" customFormat="false" ht="30" hidden="false" customHeight="true" outlineLevel="0" collapsed="false">
      <c r="A22" s="12" t="s">
        <v>25</v>
      </c>
      <c r="B22" s="13" t="s">
        <v>26</v>
      </c>
      <c r="C22" s="9"/>
      <c r="D22" s="14" t="s">
        <v>27</v>
      </c>
      <c r="E22" s="15" t="s">
        <v>28</v>
      </c>
    </row>
    <row r="23" customFormat="false" ht="39.75" hidden="false" customHeight="true" outlineLevel="0" collapsed="false">
      <c r="A23" s="12" t="s">
        <v>29</v>
      </c>
      <c r="B23" s="13" t="s">
        <v>30</v>
      </c>
      <c r="C23" s="9"/>
      <c r="D23" s="14"/>
      <c r="E23" s="15" t="s">
        <v>31</v>
      </c>
    </row>
    <row r="24" customFormat="false" ht="30" hidden="false" customHeight="true" outlineLevel="0" collapsed="false">
      <c r="A24" s="12" t="s">
        <v>32</v>
      </c>
      <c r="B24" s="13" t="s">
        <v>33</v>
      </c>
      <c r="C24" s="9"/>
      <c r="D24" s="14"/>
      <c r="E24" s="15" t="s">
        <v>34</v>
      </c>
    </row>
    <row r="25" customFormat="false" ht="21.75" hidden="false" customHeight="true" outlineLevel="0" collapsed="false">
      <c r="A25" s="16" t="s">
        <v>35</v>
      </c>
      <c r="B25" s="16"/>
      <c r="C25" s="16"/>
      <c r="D25" s="16"/>
      <c r="E25" s="16"/>
    </row>
    <row r="26" customFormat="false" ht="30" hidden="false" customHeight="true" outlineLevel="0" collapsed="false">
      <c r="A26" s="12" t="s">
        <v>36</v>
      </c>
      <c r="B26" s="13" t="s">
        <v>37</v>
      </c>
      <c r="C26" s="9"/>
      <c r="D26" s="14" t="s">
        <v>38</v>
      </c>
      <c r="E26" s="15" t="s">
        <v>39</v>
      </c>
    </row>
    <row r="27" customFormat="false" ht="30" hidden="false" customHeight="true" outlineLevel="0" collapsed="false">
      <c r="A27" s="12" t="s">
        <v>40</v>
      </c>
      <c r="B27" s="13" t="s">
        <v>41</v>
      </c>
      <c r="C27" s="9"/>
      <c r="D27" s="14" t="s">
        <v>38</v>
      </c>
      <c r="E27" s="15" t="s">
        <v>42</v>
      </c>
    </row>
    <row r="28" customFormat="false" ht="30" hidden="false" customHeight="true" outlineLevel="0" collapsed="false">
      <c r="A28" s="12" t="s">
        <v>43</v>
      </c>
      <c r="B28" s="13" t="s">
        <v>44</v>
      </c>
      <c r="C28" s="9"/>
      <c r="D28" s="14"/>
      <c r="E28" s="15" t="s">
        <v>45</v>
      </c>
    </row>
    <row r="29" customFormat="false" ht="30" hidden="false" customHeight="true" outlineLevel="0" collapsed="false">
      <c r="A29" s="12" t="s">
        <v>46</v>
      </c>
      <c r="B29" s="13" t="s">
        <v>47</v>
      </c>
      <c r="C29" s="9"/>
      <c r="D29" s="14"/>
      <c r="E29" s="15" t="s">
        <v>48</v>
      </c>
    </row>
    <row r="30" customFormat="false" ht="30" hidden="false" customHeight="true" outlineLevel="0" collapsed="false">
      <c r="A30" s="12" t="s">
        <v>49</v>
      </c>
      <c r="B30" s="13" t="s">
        <v>50</v>
      </c>
      <c r="C30" s="9"/>
      <c r="D30" s="14" t="s">
        <v>20</v>
      </c>
      <c r="E30" s="15" t="s">
        <v>51</v>
      </c>
    </row>
    <row r="31" customFormat="false" ht="30" hidden="false" customHeight="true" outlineLevel="0" collapsed="false">
      <c r="A31" s="12" t="s">
        <v>52</v>
      </c>
      <c r="B31" s="13" t="s">
        <v>53</v>
      </c>
      <c r="C31" s="9"/>
      <c r="D31" s="14"/>
      <c r="E31" s="15" t="s">
        <v>54</v>
      </c>
    </row>
    <row r="32" customFormat="false" ht="30" hidden="false" customHeight="true" outlineLevel="0" collapsed="false">
      <c r="A32" s="12" t="s">
        <v>55</v>
      </c>
      <c r="B32" s="13" t="s">
        <v>56</v>
      </c>
      <c r="C32" s="9"/>
      <c r="D32" s="14"/>
      <c r="E32" s="15" t="s">
        <v>57</v>
      </c>
    </row>
    <row r="33" customFormat="false" ht="21.75" hidden="false" customHeight="true" outlineLevel="0" collapsed="false">
      <c r="A33" s="17" t="s">
        <v>58</v>
      </c>
      <c r="B33" s="17"/>
      <c r="C33" s="17"/>
      <c r="D33" s="17"/>
      <c r="E33" s="17"/>
    </row>
    <row r="34" customFormat="false" ht="30" hidden="false" customHeight="true" outlineLevel="0" collapsed="false">
      <c r="A34" s="12" t="s">
        <v>59</v>
      </c>
      <c r="B34" s="13" t="s">
        <v>60</v>
      </c>
      <c r="C34" s="9"/>
      <c r="D34" s="14"/>
      <c r="E34" s="15" t="s">
        <v>61</v>
      </c>
    </row>
    <row r="35" customFormat="false" ht="30" hidden="false" customHeight="true" outlineLevel="0" collapsed="false">
      <c r="A35" s="12" t="s">
        <v>62</v>
      </c>
      <c r="B35" s="13" t="s">
        <v>63</v>
      </c>
      <c r="C35" s="9"/>
      <c r="D35" s="14"/>
      <c r="E35" s="15" t="s">
        <v>64</v>
      </c>
    </row>
    <row r="36" customFormat="false" ht="43.5" hidden="false" customHeight="true" outlineLevel="0" collapsed="false">
      <c r="A36" s="12" t="s">
        <v>65</v>
      </c>
      <c r="B36" s="13" t="s">
        <v>66</v>
      </c>
      <c r="C36" s="9"/>
      <c r="D36" s="14"/>
      <c r="E36" s="15" t="s">
        <v>67</v>
      </c>
    </row>
    <row r="37" customFormat="false" ht="30" hidden="false" customHeight="true" outlineLevel="0" collapsed="false">
      <c r="A37" s="12" t="s">
        <v>68</v>
      </c>
      <c r="B37" s="13" t="s">
        <v>69</v>
      </c>
      <c r="C37" s="9"/>
      <c r="D37" s="14"/>
      <c r="E37" s="15" t="s">
        <v>70</v>
      </c>
    </row>
    <row r="38" customFormat="false" ht="30" hidden="false" customHeight="true" outlineLevel="0" collapsed="false">
      <c r="A38" s="12" t="s">
        <v>71</v>
      </c>
      <c r="B38" s="13" t="s">
        <v>72</v>
      </c>
      <c r="C38" s="9"/>
      <c r="D38" s="14"/>
      <c r="E38" s="15" t="s">
        <v>73</v>
      </c>
    </row>
    <row r="39" customFormat="false" ht="43.5" hidden="false" customHeight="true" outlineLevel="0" collapsed="false">
      <c r="A39" s="12" t="s">
        <v>74</v>
      </c>
      <c r="B39" s="13" t="s">
        <v>75</v>
      </c>
      <c r="C39" s="9"/>
      <c r="D39" s="14"/>
      <c r="E39" s="15" t="s">
        <v>76</v>
      </c>
    </row>
    <row r="40" customFormat="false" ht="21.75" hidden="false" customHeight="true" outlineLevel="0" collapsed="false">
      <c r="A40" s="18" t="s">
        <v>77</v>
      </c>
      <c r="B40" s="18"/>
      <c r="C40" s="18"/>
      <c r="D40" s="18"/>
      <c r="E40" s="18"/>
    </row>
    <row r="41" customFormat="false" ht="30" hidden="false" customHeight="true" outlineLevel="0" collapsed="false">
      <c r="A41" s="12" t="s">
        <v>78</v>
      </c>
      <c r="B41" s="13" t="s">
        <v>79</v>
      </c>
      <c r="C41" s="9"/>
      <c r="D41" s="14" t="s">
        <v>80</v>
      </c>
      <c r="E41" s="15" t="s">
        <v>81</v>
      </c>
    </row>
    <row r="42" customFormat="false" ht="30" hidden="false" customHeight="true" outlineLevel="0" collapsed="false">
      <c r="A42" s="12" t="s">
        <v>82</v>
      </c>
      <c r="B42" s="13" t="s">
        <v>83</v>
      </c>
      <c r="C42" s="9"/>
      <c r="D42" s="14" t="s">
        <v>84</v>
      </c>
      <c r="E42" s="15" t="s">
        <v>85</v>
      </c>
    </row>
    <row r="43" customFormat="false" ht="30" hidden="false" customHeight="true" outlineLevel="0" collapsed="false">
      <c r="A43" s="12" t="s">
        <v>86</v>
      </c>
      <c r="B43" s="13" t="s">
        <v>87</v>
      </c>
      <c r="C43" s="9"/>
      <c r="D43" s="14" t="s">
        <v>88</v>
      </c>
      <c r="E43" s="15" t="s">
        <v>89</v>
      </c>
    </row>
    <row r="44" customFormat="false" ht="30" hidden="false" customHeight="true" outlineLevel="0" collapsed="false">
      <c r="A44" s="12" t="s">
        <v>90</v>
      </c>
      <c r="B44" s="13" t="s">
        <v>91</v>
      </c>
      <c r="C44" s="9"/>
      <c r="D44" s="14" t="s">
        <v>92</v>
      </c>
      <c r="E44" s="15" t="s">
        <v>93</v>
      </c>
    </row>
    <row r="45" customFormat="false" ht="30" hidden="false" customHeight="true" outlineLevel="0" collapsed="false">
      <c r="A45" s="12" t="s">
        <v>94</v>
      </c>
      <c r="B45" s="13" t="s">
        <v>95</v>
      </c>
      <c r="C45" s="9"/>
      <c r="D45" s="14" t="s">
        <v>96</v>
      </c>
      <c r="E45" s="15" t="s">
        <v>97</v>
      </c>
    </row>
    <row r="46" customFormat="false" ht="30" hidden="false" customHeight="true" outlineLevel="0" collapsed="false">
      <c r="A46" s="12" t="s">
        <v>98</v>
      </c>
      <c r="B46" s="13" t="s">
        <v>99</v>
      </c>
      <c r="C46" s="9"/>
      <c r="D46" s="14" t="s">
        <v>96</v>
      </c>
      <c r="E46" s="15"/>
    </row>
    <row r="47" customFormat="false" ht="30" hidden="false" customHeight="true" outlineLevel="0" collapsed="false">
      <c r="A47" s="12" t="s">
        <v>100</v>
      </c>
      <c r="B47" s="13" t="s">
        <v>101</v>
      </c>
      <c r="C47" s="9"/>
      <c r="D47" s="14" t="s">
        <v>102</v>
      </c>
      <c r="E47" s="15" t="s">
        <v>103</v>
      </c>
    </row>
    <row r="48" customFormat="false" ht="21.75" hidden="false" customHeight="true" outlineLevel="0" collapsed="false">
      <c r="A48" s="19" t="s">
        <v>104</v>
      </c>
      <c r="B48" s="19"/>
      <c r="C48" s="19"/>
      <c r="D48" s="19"/>
      <c r="E48" s="19"/>
    </row>
    <row r="49" customFormat="false" ht="63.75" hidden="false" customHeight="true" outlineLevel="0" collapsed="false">
      <c r="A49" s="20" t="s">
        <v>105</v>
      </c>
      <c r="B49" s="20"/>
      <c r="C49" s="20"/>
      <c r="D49" s="20"/>
      <c r="E49" s="20"/>
    </row>
    <row r="50" customFormat="false" ht="48" hidden="false" customHeight="true" outlineLevel="0" collapsed="false">
      <c r="A50" s="12" t="s">
        <v>106</v>
      </c>
      <c r="B50" s="13" t="s">
        <v>107</v>
      </c>
      <c r="C50" s="21"/>
      <c r="D50" s="14"/>
      <c r="E50" s="15" t="s">
        <v>108</v>
      </c>
    </row>
    <row r="51" customFormat="false" ht="31.5" hidden="false" customHeight="true" outlineLevel="0" collapsed="false">
      <c r="A51" s="12" t="s">
        <v>109</v>
      </c>
      <c r="B51" s="13" t="s">
        <v>110</v>
      </c>
      <c r="C51" s="21"/>
      <c r="D51" s="14"/>
      <c r="E51" s="15" t="s">
        <v>111</v>
      </c>
    </row>
    <row r="52" customFormat="false" ht="48" hidden="false" customHeight="true" outlineLevel="0" collapsed="false">
      <c r="A52" s="12" t="s">
        <v>112</v>
      </c>
      <c r="B52" s="13" t="s">
        <v>113</v>
      </c>
      <c r="C52" s="21"/>
      <c r="D52" s="14"/>
      <c r="E52" s="15" t="s">
        <v>114</v>
      </c>
    </row>
    <row r="53" customFormat="false" ht="31.5" hidden="false" customHeight="true" outlineLevel="0" collapsed="false">
      <c r="A53" s="12" t="s">
        <v>115</v>
      </c>
      <c r="B53" s="13" t="s">
        <v>116</v>
      </c>
      <c r="C53" s="21"/>
      <c r="D53" s="14"/>
      <c r="E53" s="15" t="s">
        <v>117</v>
      </c>
    </row>
    <row r="54" customFormat="false" ht="48" hidden="false" customHeight="true" outlineLevel="0" collapsed="false">
      <c r="A54" s="12" t="s">
        <v>118</v>
      </c>
      <c r="B54" s="13" t="s">
        <v>119</v>
      </c>
      <c r="C54" s="21"/>
      <c r="D54" s="14"/>
      <c r="E54" s="15" t="s">
        <v>120</v>
      </c>
    </row>
    <row r="55" customFormat="false" ht="48" hidden="false" customHeight="true" outlineLevel="0" collapsed="false">
      <c r="A55" s="12" t="s">
        <v>121</v>
      </c>
      <c r="B55" s="13" t="s">
        <v>122</v>
      </c>
      <c r="C55" s="9"/>
      <c r="D55" s="14"/>
      <c r="E55" s="15" t="s">
        <v>123</v>
      </c>
    </row>
    <row r="56" customFormat="false" ht="48" hidden="false" customHeight="true" outlineLevel="0" collapsed="false">
      <c r="A56" s="12" t="s">
        <v>124</v>
      </c>
      <c r="B56" s="13" t="s">
        <v>125</v>
      </c>
      <c r="C56" s="9"/>
      <c r="D56" s="14"/>
      <c r="E56" s="15" t="s">
        <v>126</v>
      </c>
    </row>
    <row r="57" customFormat="false" ht="48" hidden="false" customHeight="true" outlineLevel="0" collapsed="false">
      <c r="A57" s="12" t="s">
        <v>127</v>
      </c>
      <c r="B57" s="13" t="s">
        <v>128</v>
      </c>
      <c r="C57" s="21"/>
      <c r="D57" s="14"/>
      <c r="E57" s="15" t="s">
        <v>129</v>
      </c>
    </row>
    <row r="58" customFormat="false" ht="13.5" hidden="false" customHeight="true" outlineLevel="0" collapsed="false">
      <c r="A58" s="22" t="s">
        <v>130</v>
      </c>
      <c r="B58" s="22"/>
      <c r="C58" s="22"/>
      <c r="D58" s="22"/>
      <c r="E58" s="22"/>
    </row>
  </sheetData>
  <mergeCells count="10">
    <mergeCell ref="A1:E1"/>
    <mergeCell ref="A2:E2"/>
    <mergeCell ref="A5:E5"/>
    <mergeCell ref="A6:E6"/>
    <mergeCell ref="A25:E25"/>
    <mergeCell ref="A33:E33"/>
    <mergeCell ref="A40:E40"/>
    <mergeCell ref="A48:E48"/>
    <mergeCell ref="A49:E49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" t="s">
        <v>131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132</v>
      </c>
      <c r="B2" s="2"/>
      <c r="C2" s="2"/>
      <c r="D2" s="2"/>
      <c r="E2" s="2"/>
    </row>
    <row r="3" customFormat="false" ht="19.5" hidden="false" customHeight="true" outlineLevel="0" collapsed="false">
      <c r="A3" s="5" t="s">
        <v>133</v>
      </c>
      <c r="B3" s="5" t="s">
        <v>134</v>
      </c>
      <c r="C3" s="5" t="s">
        <v>8</v>
      </c>
      <c r="D3" s="5" t="s">
        <v>135</v>
      </c>
      <c r="E3" s="5" t="s">
        <v>136</v>
      </c>
    </row>
    <row r="4" customFormat="false" ht="21.75" hidden="false" customHeight="true" outlineLevel="0" collapsed="false">
      <c r="A4" s="23" t="s">
        <v>137</v>
      </c>
      <c r="B4" s="23"/>
      <c r="C4" s="23"/>
      <c r="D4" s="23"/>
      <c r="E4" s="23"/>
    </row>
    <row r="5" customFormat="false" ht="21.75" hidden="false" customHeight="true" outlineLevel="0" collapsed="false">
      <c r="A5" s="24" t="s">
        <v>12</v>
      </c>
    </row>
    <row r="6" customFormat="false" ht="15" hidden="false" customHeight="false" outlineLevel="0" collapsed="false">
      <c r="B6" s="24" t="s">
        <v>14</v>
      </c>
    </row>
    <row r="7" customFormat="false" ht="15" hidden="false" customHeight="false" outlineLevel="0" collapsed="false">
      <c r="C7" s="24" t="s">
        <v>15</v>
      </c>
    </row>
    <row r="8" customFormat="false" ht="15" hidden="false" customHeight="false" outlineLevel="0" collapsed="false">
      <c r="D8" s="24" t="s">
        <v>138</v>
      </c>
    </row>
    <row r="9" customFormat="false" ht="15" hidden="false" customHeight="false" outlineLevel="0" collapsed="false">
      <c r="E9" s="24" t="s">
        <v>139</v>
      </c>
    </row>
    <row r="10" customFormat="false" ht="21.75" hidden="false" customHeight="true" outlineLevel="0" collapsed="false">
      <c r="A10" s="25"/>
      <c r="B10" s="25"/>
      <c r="C10" s="25"/>
      <c r="D10" s="25"/>
      <c r="E10" s="25"/>
    </row>
    <row r="11" customFormat="false" ht="21.75" hidden="false" customHeight="true" outlineLevel="0" collapsed="false">
      <c r="A11" s="26"/>
      <c r="B11" s="26"/>
      <c r="C11" s="26"/>
      <c r="D11" s="26"/>
      <c r="E11" s="26"/>
    </row>
    <row r="12" customFormat="false" ht="21.75" hidden="false" customHeight="true" outlineLevel="0" collapsed="false">
      <c r="A12" s="25"/>
      <c r="B12" s="25"/>
      <c r="C12" s="25"/>
      <c r="D12" s="25"/>
      <c r="E12" s="25"/>
    </row>
    <row r="13" customFormat="false" ht="21.75" hidden="false" customHeight="true" outlineLevel="0" collapsed="false">
      <c r="A13" s="26"/>
      <c r="B13" s="26"/>
      <c r="C13" s="26"/>
      <c r="D13" s="26"/>
      <c r="E13" s="26"/>
    </row>
    <row r="14" customFormat="false" ht="21.75" hidden="false" customHeight="true" outlineLevel="0" collapsed="false">
      <c r="A14" s="25"/>
      <c r="B14" s="25"/>
      <c r="C14" s="25"/>
      <c r="D14" s="25"/>
      <c r="E14" s="25"/>
    </row>
    <row r="15" customFormat="false" ht="21.75" hidden="false" customHeight="true" outlineLevel="0" collapsed="false">
      <c r="A15" s="26"/>
      <c r="B15" s="26"/>
      <c r="C15" s="26"/>
      <c r="D15" s="26"/>
      <c r="E15" s="26"/>
    </row>
    <row r="16" customFormat="false" ht="21.75" hidden="false" customHeight="true" outlineLevel="0" collapsed="false">
      <c r="A16" s="25"/>
      <c r="B16" s="25"/>
      <c r="C16" s="25"/>
      <c r="D16" s="25"/>
      <c r="E16" s="25"/>
    </row>
    <row r="17" customFormat="false" ht="21.75" hidden="false" customHeight="true" outlineLevel="0" collapsed="false">
      <c r="A17" s="27" t="s">
        <v>17</v>
      </c>
      <c r="B17" s="28" t="n">
        <f aca="false">SUM(B10:B16)</f>
        <v>0</v>
      </c>
      <c r="C17" s="28" t="str">
        <f aca="false">IFERROR(AVERAGEIF(C10:C16,"&gt;0"),"")</f>
        <v/>
      </c>
      <c r="D17" s="28" t="n">
        <f aca="false">SUM(D10:D16)</f>
        <v>0</v>
      </c>
      <c r="E17" s="10"/>
    </row>
    <row r="18" customFormat="false" ht="21.75" hidden="false" customHeight="true" outlineLevel="0" collapsed="false">
      <c r="A18" s="6" t="s">
        <v>140</v>
      </c>
      <c r="B18" s="6"/>
      <c r="C18" s="6"/>
      <c r="D18" s="6"/>
      <c r="E18" s="6"/>
    </row>
    <row r="19" customFormat="false" ht="27.75" hidden="false" customHeight="true" outlineLevel="0" collapsed="false">
      <c r="A19" s="13" t="s">
        <v>141</v>
      </c>
      <c r="B19" s="25"/>
      <c r="C19" s="14" t="s">
        <v>80</v>
      </c>
      <c r="D19" s="29" t="s">
        <v>142</v>
      </c>
      <c r="E19" s="15"/>
    </row>
    <row r="20" customFormat="false" ht="27.75" hidden="false" customHeight="true" outlineLevel="0" collapsed="false">
      <c r="A20" s="13" t="s">
        <v>143</v>
      </c>
      <c r="B20" s="25"/>
      <c r="C20" s="14" t="s">
        <v>80</v>
      </c>
      <c r="D20" s="29" t="s">
        <v>144</v>
      </c>
      <c r="E20" s="15"/>
    </row>
    <row r="21" customFormat="false" ht="27.75" hidden="false" customHeight="true" outlineLevel="0" collapsed="false">
      <c r="A21" s="13" t="s">
        <v>145</v>
      </c>
      <c r="B21" s="25"/>
      <c r="C21" s="14" t="s">
        <v>80</v>
      </c>
      <c r="D21" s="29" t="s">
        <v>146</v>
      </c>
      <c r="E21" s="15" t="s">
        <v>147</v>
      </c>
    </row>
    <row r="22" customFormat="false" ht="27.75" hidden="false" customHeight="true" outlineLevel="0" collapsed="false">
      <c r="A22" s="13" t="s">
        <v>148</v>
      </c>
      <c r="B22" s="25"/>
      <c r="C22" s="14" t="s">
        <v>80</v>
      </c>
      <c r="D22" s="29" t="s">
        <v>149</v>
      </c>
      <c r="E22" s="15" t="s">
        <v>150</v>
      </c>
    </row>
    <row r="23" customFormat="false" ht="27.75" hidden="false" customHeight="true" outlineLevel="0" collapsed="false">
      <c r="A23" s="13" t="s">
        <v>151</v>
      </c>
      <c r="B23" s="25"/>
      <c r="C23" s="14" t="s">
        <v>88</v>
      </c>
      <c r="D23" s="29" t="s">
        <v>152</v>
      </c>
      <c r="E23" s="15"/>
    </row>
    <row r="24" customFormat="false" ht="27.75" hidden="false" customHeight="true" outlineLevel="0" collapsed="false">
      <c r="A24" s="13" t="s">
        <v>153</v>
      </c>
      <c r="B24" s="25"/>
      <c r="C24" s="14" t="s">
        <v>154</v>
      </c>
      <c r="D24" s="29" t="s">
        <v>155</v>
      </c>
      <c r="E24" s="15"/>
    </row>
    <row r="25" customFormat="false" ht="27.75" hidden="false" customHeight="true" outlineLevel="0" collapsed="false">
      <c r="A25" s="13" t="s">
        <v>156</v>
      </c>
      <c r="B25" s="25"/>
      <c r="C25" s="14" t="s">
        <v>157</v>
      </c>
      <c r="D25" s="29" t="s">
        <v>158</v>
      </c>
      <c r="E25" s="15"/>
    </row>
    <row r="26" customFormat="false" ht="21.75" hidden="false" customHeight="true" outlineLevel="0" collapsed="false">
      <c r="A26" s="17" t="s">
        <v>159</v>
      </c>
      <c r="B26" s="17"/>
      <c r="C26" s="17"/>
      <c r="D26" s="17"/>
      <c r="E26" s="17"/>
    </row>
    <row r="27" customFormat="false" ht="31.5" hidden="false" customHeight="true" outlineLevel="0" collapsed="false">
      <c r="A27" s="30" t="s">
        <v>160</v>
      </c>
      <c r="B27" s="30"/>
      <c r="C27" s="30"/>
      <c r="D27" s="30"/>
      <c r="E27" s="30"/>
    </row>
    <row r="28" customFormat="false" ht="27.75" hidden="false" customHeight="true" outlineLevel="0" collapsed="false">
      <c r="A28" s="13" t="s">
        <v>161</v>
      </c>
      <c r="B28" s="31" t="str">
        <f aca="false">IF(B19&lt;&gt;"",B19+IF(B21&lt;&gt;"",B21,0)+IF(B22&lt;&gt;"",B22,0),"")</f>
        <v/>
      </c>
      <c r="C28" s="14" t="s">
        <v>80</v>
      </c>
      <c r="D28" s="29" t="s">
        <v>162</v>
      </c>
      <c r="E28" s="15" t="s">
        <v>163</v>
      </c>
    </row>
    <row r="29" customFormat="false" ht="27.75" hidden="false" customHeight="true" outlineLevel="0" collapsed="false">
      <c r="A29" s="13" t="s">
        <v>164</v>
      </c>
      <c r="B29" s="31" t="str">
        <f aca="false">IF(AND(B20&lt;&gt;"",B19&lt;&gt;"",B19&gt;0),B20/B19,"")</f>
        <v/>
      </c>
      <c r="C29" s="14"/>
      <c r="D29" s="29" t="s">
        <v>165</v>
      </c>
      <c r="E29" s="15" t="s">
        <v>166</v>
      </c>
    </row>
    <row r="30" customFormat="false" ht="27.75" hidden="false" customHeight="true" outlineLevel="0" collapsed="false">
      <c r="A30" s="13" t="s">
        <v>167</v>
      </c>
      <c r="B30" s="31" t="str">
        <f aca="false">IF(AND(B20&lt;&gt;"",B28&lt;&gt;"",B28&gt;0),B20/B28,"")</f>
        <v/>
      </c>
      <c r="C30" s="14"/>
      <c r="D30" s="29" t="s">
        <v>162</v>
      </c>
      <c r="E30" s="15" t="s">
        <v>168</v>
      </c>
    </row>
    <row r="31" customFormat="false" ht="27.75" hidden="false" customHeight="true" outlineLevel="0" collapsed="false">
      <c r="A31" s="13" t="s">
        <v>169</v>
      </c>
      <c r="B31" s="31" t="str">
        <f aca="false">IF(AND(B19&lt;&gt;"",B25&lt;&gt;"",B25&gt;0),B19/B25,"")</f>
        <v/>
      </c>
      <c r="C31" s="14" t="s">
        <v>170</v>
      </c>
      <c r="D31" s="29" t="s">
        <v>162</v>
      </c>
      <c r="E31" s="15" t="s">
        <v>171</v>
      </c>
    </row>
    <row r="32" customFormat="false" ht="27.75" hidden="false" customHeight="true" outlineLevel="0" collapsed="false">
      <c r="A32" s="13" t="s">
        <v>172</v>
      </c>
      <c r="B32" s="31" t="str">
        <f aca="false">IF(AND(B28&lt;&gt;"",B24&lt;&gt;""),B28*B24,"")</f>
        <v/>
      </c>
      <c r="C32" s="14" t="s">
        <v>92</v>
      </c>
      <c r="D32" s="29" t="s">
        <v>162</v>
      </c>
      <c r="E32" s="15"/>
    </row>
    <row r="33" customFormat="false" ht="27.75" hidden="false" customHeight="true" outlineLevel="0" collapsed="false">
      <c r="A33" s="13" t="s">
        <v>173</v>
      </c>
      <c r="B33" s="31" t="str">
        <f aca="false">IF(AND(B19&lt;&gt;"",B18&lt;&gt;"",B18&gt;0),ABS((B19-B18*1000)/B19)*100,"")</f>
        <v/>
      </c>
      <c r="C33" s="14" t="s">
        <v>96</v>
      </c>
      <c r="D33" s="29" t="s">
        <v>174</v>
      </c>
      <c r="E33" s="15" t="s">
        <v>175</v>
      </c>
    </row>
    <row r="34" customFormat="false" ht="27.75" hidden="false" customHeight="true" outlineLevel="0" collapsed="false">
      <c r="A34" s="13" t="s">
        <v>176</v>
      </c>
      <c r="B34" s="31" t="str">
        <f aca="false">IF(B33="","Brak danych",IF(B33&lt;=5,"✅ ZATWIERDZONY",IF(B33&lt;=10,"⚠️ WARUNKOWO","❌ ODRZUCONY")))</f>
        <v>Brak danych</v>
      </c>
      <c r="C34" s="14"/>
      <c r="D34" s="29" t="s">
        <v>162</v>
      </c>
      <c r="E34" s="15"/>
    </row>
    <row r="35" customFormat="false" ht="27.75" hidden="false" customHeight="true" outlineLevel="0" collapsed="false">
      <c r="A35" s="13" t="s">
        <v>177</v>
      </c>
      <c r="B35" s="25"/>
      <c r="C35" s="14" t="s">
        <v>80</v>
      </c>
      <c r="D35" s="29" t="s">
        <v>178</v>
      </c>
      <c r="E35" s="15" t="s">
        <v>179</v>
      </c>
    </row>
    <row r="36" customFormat="false" ht="27.75" hidden="false" customHeight="true" outlineLevel="0" collapsed="false">
      <c r="A36" s="13" t="s">
        <v>180</v>
      </c>
      <c r="B36" s="31" t="str">
        <f aca="false">IF(B19&lt;&gt;"",B19*0.05,"")</f>
        <v/>
      </c>
      <c r="C36" s="14" t="s">
        <v>80</v>
      </c>
      <c r="D36" s="29" t="s">
        <v>181</v>
      </c>
      <c r="E36" s="15" t="s">
        <v>182</v>
      </c>
    </row>
    <row r="37" customFormat="false" ht="21.75" hidden="false" customHeight="true" outlineLevel="0" collapsed="false">
      <c r="A37" s="19" t="s">
        <v>183</v>
      </c>
      <c r="B37" s="19"/>
      <c r="C37" s="19"/>
      <c r="D37" s="19"/>
      <c r="E37" s="19"/>
    </row>
    <row r="38" customFormat="false" ht="55.5" hidden="false" customHeight="true" outlineLevel="0" collapsed="false">
      <c r="A38" s="20" t="s">
        <v>105</v>
      </c>
      <c r="B38" s="20"/>
      <c r="C38" s="20"/>
      <c r="D38" s="20"/>
      <c r="E38" s="20"/>
    </row>
    <row r="39" customFormat="false" ht="25.5" hidden="false" customHeight="true" outlineLevel="0" collapsed="false">
      <c r="A39" s="32" t="s">
        <v>184</v>
      </c>
      <c r="B39" s="32"/>
      <c r="C39" s="32"/>
      <c r="D39" s="32"/>
      <c r="E39" s="32"/>
    </row>
    <row r="40" customFormat="false" ht="21.75" hidden="false" customHeight="true" outlineLevel="0" collapsed="false">
      <c r="A40" s="33" t="s">
        <v>12</v>
      </c>
    </row>
    <row r="41" customFormat="false" ht="15" hidden="false" customHeight="false" outlineLevel="0" collapsed="false">
      <c r="B41" s="33" t="s">
        <v>185</v>
      </c>
    </row>
    <row r="42" customFormat="false" ht="15" hidden="false" customHeight="false" outlineLevel="0" collapsed="false">
      <c r="C42" s="33" t="s">
        <v>186</v>
      </c>
    </row>
    <row r="43" customFormat="false" ht="15" hidden="false" customHeight="false" outlineLevel="0" collapsed="false">
      <c r="D43" s="33" t="s">
        <v>187</v>
      </c>
    </row>
    <row r="44" customFormat="false" ht="15" hidden="false" customHeight="false" outlineLevel="0" collapsed="false">
      <c r="E44" s="33" t="s">
        <v>188</v>
      </c>
    </row>
    <row r="45" customFormat="false" ht="21.75" hidden="false" customHeight="true" outlineLevel="0" collapsed="false">
      <c r="A45" s="25"/>
      <c r="B45" s="25"/>
      <c r="C45" s="25"/>
      <c r="D45" s="25"/>
      <c r="E45" s="34" t="str">
        <f aca="true">IF(B45="","—",IF(B45="NIE","❌ Brak karty BDO",IF(C45="","❌ Brak kontr.szczeln.",IF(D45="","❌ Brak kontr.ustawy",IF(EDATE(D45,60)&lt;TODAY(),"❌ Kontrola ustawy MINĘŁA","✅ OK")))))</f>
        <v>—</v>
      </c>
    </row>
    <row r="46" customFormat="false" ht="21.75" hidden="false" customHeight="true" outlineLevel="0" collapsed="false">
      <c r="A46" s="26"/>
      <c r="B46" s="26"/>
      <c r="C46" s="26"/>
      <c r="D46" s="26"/>
      <c r="E46" s="34" t="str">
        <f aca="true">IF(B46="","—",IF(B46="NIE","❌ Brak karty BDO",IF(C46="","❌ Brak kontr.szczeln.",IF(D46="","❌ Brak kontr.ustawy",IF(EDATE(D46,60)&lt;TODAY(),"❌ Kontrola ustawy MINĘŁA","✅ OK")))))</f>
        <v>—</v>
      </c>
    </row>
    <row r="47" customFormat="false" ht="21.75" hidden="false" customHeight="true" outlineLevel="0" collapsed="false">
      <c r="A47" s="25"/>
      <c r="B47" s="25"/>
      <c r="C47" s="25"/>
      <c r="D47" s="25"/>
      <c r="E47" s="34" t="str">
        <f aca="true">IF(B47="","—",IF(B47="NIE","❌ Brak karty BDO",IF(C47="","❌ Brak kontr.szczeln.",IF(D47="","❌ Brak kontr.ustawy",IF(EDATE(D47,60)&lt;TODAY(),"❌ Kontrola ustawy MINĘŁA","✅ OK")))))</f>
        <v>—</v>
      </c>
    </row>
    <row r="48" customFormat="false" ht="21.75" hidden="false" customHeight="true" outlineLevel="0" collapsed="false">
      <c r="A48" s="26"/>
      <c r="B48" s="26"/>
      <c r="C48" s="26"/>
      <c r="D48" s="26"/>
      <c r="E48" s="34" t="str">
        <f aca="true">IF(B48="","—",IF(B48="NIE","❌ Brak karty BDO",IF(C48="","❌ Brak kontr.szczeln.",IF(D48="","❌ Brak kontr.ustawy",IF(EDATE(D48,60)&lt;TODAY(),"❌ Kontrola ustawy MINĘŁA","✅ OK")))))</f>
        <v>—</v>
      </c>
    </row>
    <row r="49" customFormat="false" ht="21.75" hidden="false" customHeight="true" outlineLevel="0" collapsed="false">
      <c r="A49" s="25"/>
      <c r="B49" s="25"/>
      <c r="C49" s="25"/>
      <c r="D49" s="25"/>
      <c r="E49" s="34" t="str">
        <f aca="true">IF(B49="","—",IF(B49="NIE","❌ Brak karty BDO",IF(C49="","❌ Brak kontr.szczeln.",IF(D49="","❌ Brak kontr.ustawy",IF(EDATE(D49,60)&lt;TODAY(),"❌ Kontrola ustawy MINĘŁA","✅ OK")))))</f>
        <v>—</v>
      </c>
    </row>
    <row r="50" customFormat="false" ht="21.75" hidden="false" customHeight="true" outlineLevel="0" collapsed="false">
      <c r="A50" s="26"/>
      <c r="B50" s="26"/>
      <c r="C50" s="26"/>
      <c r="D50" s="26"/>
      <c r="E50" s="34" t="str">
        <f aca="true">IF(B50="","—",IF(B50="NIE","❌ Brak karty BDO",IF(C50="","❌ Brak kontr.szczeln.",IF(D50="","❌ Brak kontr.ustawy",IF(EDATE(D50,60)&lt;TODAY(),"❌ Kontrola ustawy MINĘŁA","✅ OK")))))</f>
        <v>—</v>
      </c>
    </row>
    <row r="51" customFormat="false" ht="21.75" hidden="false" customHeight="true" outlineLevel="0" collapsed="false">
      <c r="A51" s="25"/>
      <c r="B51" s="25"/>
      <c r="C51" s="25"/>
      <c r="D51" s="25"/>
      <c r="E51" s="34" t="str">
        <f aca="true">IF(B51="","—",IF(B51="NIE","❌ Brak karty BDO",IF(C51="","❌ Brak kontr.szczeln.",IF(D51="","❌ Brak kontr.ustawy",IF(EDATE(D51,60)&lt;TODAY(),"❌ Kontrola ustawy MINĘŁA","✅ OK")))))</f>
        <v>—</v>
      </c>
    </row>
    <row r="52" customFormat="false" ht="36" hidden="false" customHeight="true" outlineLevel="0" collapsed="false">
      <c r="A52" s="13" t="s">
        <v>189</v>
      </c>
      <c r="B52" s="31" t="str">
        <f aca="false">IF(COUNTIF(E45:E51,"❌*")&gt;0,"❌ NIEZGODNOŚĆ PRAWNA — "
&amp;COUNTIF(E45:E51,"❌*")&amp;" urządzeń z niezgodnościami F-gaz/ustawa","✅ ZGODNY — wszystkie urządzenia spełniają wymagania F-gaz i ustawy char.energ.")</f>
        <v>✅ ZGODNY — wszystkie urządzenia spełniają wymagania F-gaz i ustawy char.energ.</v>
      </c>
      <c r="C52" s="14"/>
      <c r="D52" s="29" t="s">
        <v>190</v>
      </c>
      <c r="E52" s="15"/>
    </row>
    <row r="53" customFormat="false" ht="27.75" hidden="false" customHeight="true" outlineLevel="0" collapsed="false">
      <c r="A53" s="13" t="s">
        <v>191</v>
      </c>
      <c r="B53" s="25"/>
      <c r="C53" s="14"/>
      <c r="D53" s="29" t="s">
        <v>192</v>
      </c>
      <c r="E53" s="15" t="s">
        <v>193</v>
      </c>
    </row>
    <row r="54" customFormat="false" ht="13.5" hidden="false" customHeight="true" outlineLevel="0" collapsed="false">
      <c r="A54" s="22" t="s">
        <v>194</v>
      </c>
      <c r="B54" s="22"/>
      <c r="C54" s="22"/>
      <c r="D54" s="22"/>
      <c r="E54" s="22"/>
    </row>
  </sheetData>
  <mergeCells count="10">
    <mergeCell ref="A1:E1"/>
    <mergeCell ref="A2:E2"/>
    <mergeCell ref="A4:E4"/>
    <mergeCell ref="A18:E18"/>
    <mergeCell ref="A26:E26"/>
    <mergeCell ref="A27:E27"/>
    <mergeCell ref="A37:E37"/>
    <mergeCell ref="A38:E38"/>
    <mergeCell ref="A39:E39"/>
    <mergeCell ref="A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42" hidden="false" customHeight="true" outlineLevel="0" collapsed="false">
      <c r="A1" s="1" t="s">
        <v>195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196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197</v>
      </c>
      <c r="B3" s="4"/>
      <c r="C3" s="3" t="s">
        <v>198</v>
      </c>
      <c r="D3" s="4"/>
      <c r="E3" s="3" t="s">
        <v>199</v>
      </c>
    </row>
    <row r="4" customFormat="false" ht="21.75" hidden="false" customHeight="true" outlineLevel="0" collapsed="false">
      <c r="A4" s="6" t="s">
        <v>200</v>
      </c>
      <c r="B4" s="6"/>
      <c r="C4" s="6"/>
      <c r="D4" s="6"/>
      <c r="E4" s="6"/>
    </row>
    <row r="5" customFormat="false" ht="24" hidden="false" customHeight="true" outlineLevel="0" collapsed="false">
      <c r="A5" s="35" t="s">
        <v>201</v>
      </c>
      <c r="B5" s="36" t="s">
        <v>202</v>
      </c>
      <c r="C5" s="37"/>
      <c r="D5" s="38"/>
      <c r="E5" s="39"/>
    </row>
    <row r="6" customFormat="false" ht="24" hidden="false" customHeight="true" outlineLevel="0" collapsed="false">
      <c r="A6" s="35" t="s">
        <v>203</v>
      </c>
      <c r="B6" s="36" t="s">
        <v>204</v>
      </c>
      <c r="C6" s="37"/>
      <c r="D6" s="38"/>
      <c r="E6" s="39"/>
    </row>
    <row r="7" customFormat="false" ht="24" hidden="false" customHeight="true" outlineLevel="0" collapsed="false">
      <c r="A7" s="35" t="s">
        <v>205</v>
      </c>
      <c r="B7" s="36" t="s">
        <v>206</v>
      </c>
      <c r="C7" s="37"/>
      <c r="D7" s="38"/>
      <c r="E7" s="39"/>
    </row>
    <row r="8" customFormat="false" ht="24" hidden="false" customHeight="true" outlineLevel="0" collapsed="false">
      <c r="A8" s="35" t="s">
        <v>207</v>
      </c>
      <c r="B8" s="36" t="s">
        <v>208</v>
      </c>
      <c r="C8" s="37"/>
      <c r="D8" s="38"/>
      <c r="E8" s="39"/>
    </row>
    <row r="9" customFormat="false" ht="24" hidden="false" customHeight="true" outlineLevel="0" collapsed="false">
      <c r="A9" s="35" t="s">
        <v>209</v>
      </c>
      <c r="B9" s="36" t="s">
        <v>210</v>
      </c>
      <c r="C9" s="37"/>
      <c r="D9" s="38"/>
      <c r="E9" s="39"/>
    </row>
    <row r="10" customFormat="false" ht="24" hidden="false" customHeight="true" outlineLevel="0" collapsed="false">
      <c r="A10" s="35" t="s">
        <v>211</v>
      </c>
      <c r="B10" s="36" t="s">
        <v>212</v>
      </c>
      <c r="C10" s="37"/>
      <c r="D10" s="38"/>
      <c r="E10" s="39"/>
    </row>
    <row r="11" customFormat="false" ht="24" hidden="false" customHeight="true" outlineLevel="0" collapsed="false">
      <c r="A11" s="35" t="s">
        <v>213</v>
      </c>
      <c r="B11" s="36" t="s">
        <v>214</v>
      </c>
      <c r="C11" s="37"/>
      <c r="D11" s="38"/>
      <c r="E11" s="39"/>
    </row>
    <row r="12" customFormat="false" ht="24" hidden="false" customHeight="true" outlineLevel="0" collapsed="false">
      <c r="A12" s="35" t="s">
        <v>215</v>
      </c>
      <c r="B12" s="36" t="s">
        <v>216</v>
      </c>
      <c r="C12" s="37"/>
      <c r="D12" s="38"/>
      <c r="E12" s="39"/>
    </row>
    <row r="13" customFormat="false" ht="24" hidden="false" customHeight="true" outlineLevel="0" collapsed="false">
      <c r="A13" s="35" t="s">
        <v>217</v>
      </c>
      <c r="B13" s="36" t="s">
        <v>218</v>
      </c>
      <c r="C13" s="37"/>
      <c r="D13" s="38"/>
      <c r="E13" s="39"/>
    </row>
    <row r="14" customFormat="false" ht="21.75" hidden="false" customHeight="true" outlineLevel="0" collapsed="false">
      <c r="A14" s="23" t="s">
        <v>219</v>
      </c>
      <c r="B14" s="23"/>
      <c r="C14" s="23"/>
      <c r="D14" s="23"/>
      <c r="E14" s="23"/>
    </row>
    <row r="15" customFormat="false" ht="18" hidden="false" customHeight="true" outlineLevel="0" collapsed="false">
      <c r="A15" s="40" t="s">
        <v>220</v>
      </c>
    </row>
    <row r="16" customFormat="false" ht="15" hidden="false" customHeight="false" outlineLevel="0" collapsed="false">
      <c r="B16" s="40" t="s">
        <v>134</v>
      </c>
    </row>
    <row r="17" customFormat="false" ht="15" hidden="false" customHeight="false" outlineLevel="0" collapsed="false">
      <c r="C17" s="40" t="s">
        <v>221</v>
      </c>
    </row>
    <row r="18" customFormat="false" ht="15" hidden="false" customHeight="false" outlineLevel="0" collapsed="false">
      <c r="D18" s="40" t="s">
        <v>222</v>
      </c>
    </row>
    <row r="19" customFormat="false" ht="15" hidden="false" customHeight="false" outlineLevel="0" collapsed="false">
      <c r="E19" s="40" t="s">
        <v>223</v>
      </c>
    </row>
    <row r="20" customFormat="false" ht="25.5" hidden="false" customHeight="true" outlineLevel="0" collapsed="false">
      <c r="A20" s="41" t="s">
        <v>224</v>
      </c>
      <c r="B20" s="38" t="s">
        <v>225</v>
      </c>
      <c r="C20" s="37"/>
      <c r="D20" s="39" t="s">
        <v>226</v>
      </c>
      <c r="E20" s="42" t="s">
        <v>227</v>
      </c>
    </row>
    <row r="21" customFormat="false" ht="25.5" hidden="false" customHeight="true" outlineLevel="0" collapsed="false">
      <c r="A21" s="41" t="s">
        <v>228</v>
      </c>
      <c r="B21" s="38" t="s">
        <v>225</v>
      </c>
      <c r="C21" s="37"/>
      <c r="D21" s="39" t="s">
        <v>229</v>
      </c>
      <c r="E21" s="42" t="s">
        <v>227</v>
      </c>
    </row>
    <row r="22" customFormat="false" ht="25.5" hidden="false" customHeight="true" outlineLevel="0" collapsed="false">
      <c r="A22" s="41" t="s">
        <v>230</v>
      </c>
      <c r="B22" s="38" t="s">
        <v>225</v>
      </c>
      <c r="C22" s="37" t="s">
        <v>170</v>
      </c>
      <c r="D22" s="39" t="s">
        <v>231</v>
      </c>
      <c r="E22" s="42" t="s">
        <v>227</v>
      </c>
    </row>
    <row r="23" customFormat="false" ht="25.5" hidden="false" customHeight="true" outlineLevel="0" collapsed="false">
      <c r="A23" s="41" t="s">
        <v>232</v>
      </c>
      <c r="B23" s="38" t="s">
        <v>225</v>
      </c>
      <c r="C23" s="37" t="s">
        <v>96</v>
      </c>
      <c r="D23" s="39" t="s">
        <v>233</v>
      </c>
      <c r="E23" s="42" t="s">
        <v>227</v>
      </c>
    </row>
    <row r="24" customFormat="false" ht="25.5" hidden="false" customHeight="true" outlineLevel="0" collapsed="false">
      <c r="A24" s="41" t="s">
        <v>234</v>
      </c>
      <c r="B24" s="38" t="s">
        <v>225</v>
      </c>
      <c r="C24" s="37" t="s">
        <v>92</v>
      </c>
      <c r="D24" s="39"/>
      <c r="E24" s="42" t="s">
        <v>227</v>
      </c>
    </row>
    <row r="25" customFormat="false" ht="25.5" hidden="false" customHeight="true" outlineLevel="0" collapsed="false">
      <c r="A25" s="41" t="s">
        <v>235</v>
      </c>
      <c r="B25" s="38" t="s">
        <v>225</v>
      </c>
      <c r="C25" s="37" t="s">
        <v>80</v>
      </c>
      <c r="D25" s="39" t="s">
        <v>236</v>
      </c>
      <c r="E25" s="42" t="s">
        <v>227</v>
      </c>
    </row>
    <row r="26" customFormat="false" ht="25.5" hidden="false" customHeight="true" outlineLevel="0" collapsed="false">
      <c r="A26" s="41" t="s">
        <v>237</v>
      </c>
      <c r="B26" s="38" t="s">
        <v>225</v>
      </c>
      <c r="C26" s="37" t="s">
        <v>80</v>
      </c>
      <c r="D26" s="39" t="s">
        <v>238</v>
      </c>
      <c r="E26" s="42" t="s">
        <v>227</v>
      </c>
    </row>
    <row r="27" customFormat="false" ht="21.75" hidden="false" customHeight="true" outlineLevel="0" collapsed="false">
      <c r="A27" s="19" t="s">
        <v>239</v>
      </c>
      <c r="B27" s="19"/>
      <c r="C27" s="19"/>
      <c r="D27" s="19"/>
      <c r="E27" s="19"/>
    </row>
    <row r="28" customFormat="false" ht="18" hidden="false" customHeight="true" outlineLevel="0" collapsed="false">
      <c r="A28" s="43" t="s">
        <v>240</v>
      </c>
    </row>
    <row r="29" customFormat="false" ht="15" hidden="false" customHeight="false" outlineLevel="0" collapsed="false">
      <c r="B29" s="43" t="s">
        <v>241</v>
      </c>
    </row>
    <row r="30" customFormat="false" ht="15" hidden="false" customHeight="false" outlineLevel="0" collapsed="false">
      <c r="C30" s="43" t="s">
        <v>242</v>
      </c>
    </row>
    <row r="31" customFormat="false" ht="15" hidden="false" customHeight="false" outlineLevel="0" collapsed="false">
      <c r="D31" s="43" t="s">
        <v>243</v>
      </c>
    </row>
    <row r="32" customFormat="false" ht="15" hidden="false" customHeight="false" outlineLevel="0" collapsed="false">
      <c r="E32" s="43"/>
    </row>
    <row r="33" customFormat="false" ht="27.75" hidden="false" customHeight="true" outlineLevel="0" collapsed="false">
      <c r="A33" s="44" t="s">
        <v>244</v>
      </c>
      <c r="B33" s="45" t="s">
        <v>245</v>
      </c>
      <c r="C33" s="46" t="s">
        <v>246</v>
      </c>
      <c r="D33" s="47" t="s">
        <v>247</v>
      </c>
      <c r="E33" s="48"/>
    </row>
    <row r="34" customFormat="false" ht="24" hidden="false" customHeight="true" outlineLevel="0" collapsed="false">
      <c r="A34" s="35" t="s">
        <v>248</v>
      </c>
      <c r="B34" s="49" t="s">
        <v>245</v>
      </c>
      <c r="C34" s="50" t="s">
        <v>249</v>
      </c>
      <c r="D34" s="39" t="s">
        <v>250</v>
      </c>
      <c r="E34" s="50"/>
    </row>
    <row r="35" customFormat="false" ht="24" hidden="false" customHeight="true" outlineLevel="0" collapsed="false">
      <c r="A35" s="35" t="s">
        <v>251</v>
      </c>
      <c r="B35" s="49" t="s">
        <v>245</v>
      </c>
      <c r="C35" s="50" t="s">
        <v>249</v>
      </c>
      <c r="D35" s="39" t="s">
        <v>252</v>
      </c>
      <c r="E35" s="50"/>
    </row>
    <row r="36" customFormat="false" ht="24" hidden="false" customHeight="true" outlineLevel="0" collapsed="false">
      <c r="A36" s="35" t="s">
        <v>253</v>
      </c>
      <c r="B36" s="49" t="s">
        <v>245</v>
      </c>
      <c r="C36" s="50" t="s">
        <v>249</v>
      </c>
      <c r="D36" s="39" t="s">
        <v>254</v>
      </c>
      <c r="E36" s="50"/>
    </row>
    <row r="37" customFormat="false" ht="24" hidden="false" customHeight="true" outlineLevel="0" collapsed="false">
      <c r="A37" s="35" t="s">
        <v>255</v>
      </c>
      <c r="B37" s="49" t="s">
        <v>256</v>
      </c>
      <c r="C37" s="50"/>
      <c r="D37" s="39" t="s">
        <v>257</v>
      </c>
      <c r="E37" s="50"/>
    </row>
    <row r="38" customFormat="false" ht="24" hidden="false" customHeight="true" outlineLevel="0" collapsed="false">
      <c r="A38" s="35" t="s">
        <v>258</v>
      </c>
      <c r="B38" s="49" t="s">
        <v>259</v>
      </c>
      <c r="C38" s="50"/>
      <c r="D38" s="39" t="s">
        <v>260</v>
      </c>
      <c r="E38" s="50"/>
    </row>
    <row r="39" customFormat="false" ht="24" hidden="false" customHeight="true" outlineLevel="0" collapsed="false">
      <c r="A39" s="35" t="s">
        <v>261</v>
      </c>
      <c r="B39" s="49" t="s">
        <v>262</v>
      </c>
      <c r="C39" s="50"/>
      <c r="D39" s="39" t="s">
        <v>263</v>
      </c>
      <c r="E39" s="50"/>
    </row>
    <row r="40" customFormat="false" ht="21.75" hidden="false" customHeight="true" outlineLevel="0" collapsed="false">
      <c r="A40" s="16" t="s">
        <v>264</v>
      </c>
      <c r="B40" s="16"/>
      <c r="C40" s="16"/>
      <c r="D40" s="16"/>
      <c r="E40" s="16"/>
    </row>
    <row r="41" customFormat="false" ht="18" hidden="false" customHeight="true" outlineLevel="0" collapsed="false">
      <c r="A41" s="51" t="s">
        <v>265</v>
      </c>
    </row>
    <row r="42" customFormat="false" ht="15" hidden="false" customHeight="false" outlineLevel="0" collapsed="false">
      <c r="B42" s="51" t="s">
        <v>14</v>
      </c>
    </row>
    <row r="43" customFormat="false" ht="15" hidden="false" customHeight="false" outlineLevel="0" collapsed="false">
      <c r="C43" s="51" t="s">
        <v>15</v>
      </c>
    </row>
    <row r="44" customFormat="false" ht="15" hidden="false" customHeight="false" outlineLevel="0" collapsed="false">
      <c r="D44" s="51" t="s">
        <v>138</v>
      </c>
    </row>
    <row r="45" customFormat="false" ht="15" hidden="false" customHeight="false" outlineLevel="0" collapsed="false">
      <c r="E45" s="51" t="s">
        <v>266</v>
      </c>
    </row>
    <row r="46" customFormat="false" ht="21.75" hidden="false" customHeight="true" outlineLevel="0" collapsed="false">
      <c r="A46" s="10" t="s">
        <v>267</v>
      </c>
      <c r="B46" s="10"/>
      <c r="C46" s="10"/>
      <c r="D46" s="10"/>
      <c r="E46" s="10"/>
    </row>
    <row r="47" customFormat="false" ht="21.75" hidden="false" customHeight="true" outlineLevel="0" collapsed="false">
      <c r="A47" s="52" t="s">
        <v>268</v>
      </c>
      <c r="B47" s="52"/>
      <c r="C47" s="52"/>
      <c r="D47" s="52"/>
      <c r="E47" s="52"/>
    </row>
    <row r="48" customFormat="false" ht="21.75" hidden="false" customHeight="true" outlineLevel="0" collapsed="false">
      <c r="A48" s="10" t="s">
        <v>269</v>
      </c>
      <c r="B48" s="10"/>
      <c r="C48" s="10"/>
      <c r="D48" s="10"/>
      <c r="E48" s="10"/>
    </row>
    <row r="49" customFormat="false" ht="21.75" hidden="false" customHeight="true" outlineLevel="0" collapsed="false">
      <c r="A49" s="52" t="s">
        <v>270</v>
      </c>
      <c r="B49" s="52"/>
      <c r="C49" s="52"/>
      <c r="D49" s="52"/>
      <c r="E49" s="52"/>
    </row>
    <row r="50" customFormat="false" ht="21.75" hidden="false" customHeight="true" outlineLevel="0" collapsed="false">
      <c r="A50" s="10" t="s">
        <v>271</v>
      </c>
      <c r="B50" s="10"/>
      <c r="C50" s="10"/>
      <c r="D50" s="10"/>
      <c r="E50" s="10"/>
    </row>
    <row r="51" customFormat="false" ht="21.75" hidden="false" customHeight="true" outlineLevel="0" collapsed="false">
      <c r="A51" s="52" t="s">
        <v>272</v>
      </c>
      <c r="B51" s="52"/>
      <c r="C51" s="52"/>
      <c r="D51" s="52"/>
      <c r="E51" s="52"/>
    </row>
    <row r="52" customFormat="false" ht="21.75" hidden="false" customHeight="true" outlineLevel="0" collapsed="false">
      <c r="A52" s="10" t="s">
        <v>273</v>
      </c>
      <c r="B52" s="10"/>
      <c r="C52" s="10"/>
      <c r="D52" s="10"/>
      <c r="E52" s="10"/>
    </row>
    <row r="53" customFormat="false" ht="21.75" hidden="false" customHeight="true" outlineLevel="0" collapsed="false">
      <c r="A53" s="6" t="s">
        <v>274</v>
      </c>
      <c r="B53" s="6"/>
      <c r="C53" s="6"/>
      <c r="D53" s="6"/>
      <c r="E53" s="6"/>
    </row>
    <row r="54" customFormat="false" ht="18" hidden="false" customHeight="true" outlineLevel="0" collapsed="false">
      <c r="A54" s="3" t="s">
        <v>275</v>
      </c>
      <c r="B54" s="53" t="s">
        <v>276</v>
      </c>
      <c r="C54" s="54" t="s">
        <v>198</v>
      </c>
      <c r="D54" s="53" t="s">
        <v>277</v>
      </c>
      <c r="E54" s="52"/>
    </row>
    <row r="55" customFormat="false" ht="18" hidden="false" customHeight="true" outlineLevel="0" collapsed="false">
      <c r="A55" s="55" t="s">
        <v>278</v>
      </c>
      <c r="B55" s="53" t="s">
        <v>276</v>
      </c>
      <c r="C55" s="54" t="s">
        <v>198</v>
      </c>
      <c r="D55" s="53" t="s">
        <v>277</v>
      </c>
      <c r="E55" s="52"/>
    </row>
    <row r="56" customFormat="false" ht="13.5" hidden="false" customHeight="true" outlineLevel="0" collapsed="false">
      <c r="A56" s="22" t="s">
        <v>279</v>
      </c>
      <c r="B56" s="22"/>
      <c r="C56" s="22"/>
      <c r="D56" s="22"/>
      <c r="E56" s="22"/>
    </row>
  </sheetData>
  <mergeCells count="8">
    <mergeCell ref="A1:E1"/>
    <mergeCell ref="A2:E2"/>
    <mergeCell ref="A4:E4"/>
    <mergeCell ref="A14:E14"/>
    <mergeCell ref="A27:E27"/>
    <mergeCell ref="A40:E40"/>
    <mergeCell ref="A53:E53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" t="s">
        <v>280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281</v>
      </c>
      <c r="B2" s="2"/>
      <c r="C2" s="2"/>
      <c r="D2" s="2"/>
      <c r="E2" s="2"/>
    </row>
    <row r="3" customFormat="false" ht="18" hidden="false" customHeight="true" outlineLevel="0" collapsed="false">
      <c r="A3" s="56" t="s">
        <v>282</v>
      </c>
    </row>
    <row r="4" customFormat="false" ht="13.5" hidden="false" customHeight="true" outlineLevel="0" collapsed="false">
      <c r="A4" s="57" t="s">
        <v>283</v>
      </c>
    </row>
    <row r="5" customFormat="false" ht="15" hidden="false" customHeight="true" outlineLevel="0" collapsed="false">
      <c r="A5" s="58" t="s">
        <v>284</v>
      </c>
    </row>
    <row r="6" customFormat="false" ht="15" hidden="false" customHeight="true" outlineLevel="0" collapsed="false">
      <c r="A6" s="58" t="s">
        <v>285</v>
      </c>
    </row>
    <row r="7" customFormat="false" ht="15" hidden="false" customHeight="true" outlineLevel="0" collapsed="false">
      <c r="A7" s="59"/>
    </row>
    <row r="8" customFormat="false" ht="15" hidden="false" customHeight="true" outlineLevel="0" collapsed="false">
      <c r="A8" s="60" t="s">
        <v>286</v>
      </c>
    </row>
    <row r="9" customFormat="false" ht="15" hidden="false" customHeight="true" outlineLevel="0" collapsed="false">
      <c r="A9" s="58" t="s">
        <v>287</v>
      </c>
    </row>
    <row r="10" customFormat="false" ht="15" hidden="false" customHeight="true" outlineLevel="0" collapsed="false">
      <c r="A10" s="58" t="s">
        <v>288</v>
      </c>
    </row>
    <row r="11" customFormat="false" ht="15" hidden="false" customHeight="true" outlineLevel="0" collapsed="false">
      <c r="A11" s="58" t="s">
        <v>289</v>
      </c>
    </row>
    <row r="12" customFormat="false" ht="15" hidden="false" customHeight="true" outlineLevel="0" collapsed="false">
      <c r="A12" s="59"/>
    </row>
    <row r="13" customFormat="false" ht="15" hidden="false" customHeight="true" outlineLevel="0" collapsed="false">
      <c r="A13" s="60" t="s">
        <v>290</v>
      </c>
    </row>
    <row r="14" customFormat="false" ht="15" hidden="false" customHeight="true" outlineLevel="0" collapsed="false">
      <c r="A14" s="58" t="s">
        <v>291</v>
      </c>
    </row>
    <row r="15" customFormat="false" ht="15" hidden="false" customHeight="true" outlineLevel="0" collapsed="false">
      <c r="A15" s="58" t="s">
        <v>292</v>
      </c>
    </row>
    <row r="16" customFormat="false" ht="15" hidden="false" customHeight="true" outlineLevel="0" collapsed="false">
      <c r="A16" s="58" t="s">
        <v>293</v>
      </c>
    </row>
    <row r="17" customFormat="false" ht="15" hidden="false" customHeight="true" outlineLevel="0" collapsed="false">
      <c r="A17" s="59"/>
    </row>
    <row r="18" customFormat="false" ht="15" hidden="false" customHeight="true" outlineLevel="0" collapsed="false">
      <c r="A18" s="60" t="s">
        <v>294</v>
      </c>
    </row>
    <row r="19" customFormat="false" ht="15" hidden="false" customHeight="true" outlineLevel="0" collapsed="false">
      <c r="A19" s="58" t="s">
        <v>295</v>
      </c>
    </row>
    <row r="20" customFormat="false" ht="15" hidden="false" customHeight="true" outlineLevel="0" collapsed="false">
      <c r="A20" s="58" t="s">
        <v>296</v>
      </c>
    </row>
    <row r="21" customFormat="false" ht="15" hidden="false" customHeight="true" outlineLevel="0" collapsed="false">
      <c r="A21" s="58" t="s">
        <v>297</v>
      </c>
    </row>
    <row r="22" customFormat="false" ht="15" hidden="false" customHeight="true" outlineLevel="0" collapsed="false">
      <c r="A22" s="59"/>
    </row>
    <row r="23" customFormat="false" ht="15" hidden="false" customHeight="true" outlineLevel="0" collapsed="false">
      <c r="A23" s="60" t="s">
        <v>298</v>
      </c>
    </row>
    <row r="24" customFormat="false" ht="15" hidden="false" customHeight="true" outlineLevel="0" collapsed="false">
      <c r="A24" s="58" t="s">
        <v>299</v>
      </c>
    </row>
    <row r="25" customFormat="false" ht="15" hidden="false" customHeight="true" outlineLevel="0" collapsed="false">
      <c r="A25" s="58" t="s">
        <v>300</v>
      </c>
    </row>
    <row r="26" customFormat="false" ht="15" hidden="false" customHeight="true" outlineLevel="0" collapsed="false">
      <c r="A26" s="59"/>
    </row>
    <row r="27" customFormat="false" ht="15" hidden="false" customHeight="true" outlineLevel="0" collapsed="false">
      <c r="A27" s="60" t="s">
        <v>301</v>
      </c>
    </row>
    <row r="28" customFormat="false" ht="15" hidden="false" customHeight="true" outlineLevel="0" collapsed="false">
      <c r="A28" s="58" t="s">
        <v>302</v>
      </c>
    </row>
    <row r="29" customFormat="false" ht="15" hidden="false" customHeight="true" outlineLevel="0" collapsed="false">
      <c r="A29" s="58" t="s">
        <v>303</v>
      </c>
    </row>
    <row r="30" customFormat="false" ht="15" hidden="false" customHeight="true" outlineLevel="0" collapsed="false">
      <c r="A30" s="59"/>
    </row>
    <row r="31" customFormat="false" ht="15" hidden="false" customHeight="true" outlineLevel="0" collapsed="false">
      <c r="A31" s="60" t="s">
        <v>304</v>
      </c>
    </row>
    <row r="32" customFormat="false" ht="15" hidden="false" customHeight="true" outlineLevel="0" collapsed="false">
      <c r="A32" s="58" t="s">
        <v>305</v>
      </c>
    </row>
    <row r="33" customFormat="false" ht="15" hidden="false" customHeight="true" outlineLevel="0" collapsed="false">
      <c r="A33" s="58" t="s">
        <v>306</v>
      </c>
    </row>
    <row r="34" customFormat="false" ht="15" hidden="false" customHeight="true" outlineLevel="0" collapsed="false">
      <c r="A34" s="58" t="s">
        <v>307</v>
      </c>
    </row>
    <row r="35" customFormat="false" ht="15" hidden="false" customHeight="true" outlineLevel="0" collapsed="false">
      <c r="A35" s="58" t="s">
        <v>308</v>
      </c>
    </row>
    <row r="36" customFormat="false" ht="15" hidden="false" customHeight="true" outlineLevel="0" collapsed="false">
      <c r="A36" s="58" t="s">
        <v>309</v>
      </c>
    </row>
    <row r="37" customFormat="false" ht="15" hidden="false" customHeight="true" outlineLevel="0" collapsed="false">
      <c r="A37" s="58" t="s">
        <v>310</v>
      </c>
    </row>
    <row r="38" customFormat="false" ht="15" hidden="false" customHeight="true" outlineLevel="0" collapsed="false">
      <c r="A38" s="58" t="s">
        <v>311</v>
      </c>
    </row>
    <row r="39" customFormat="false" ht="15" hidden="false" customHeight="true" outlineLevel="0" collapsed="false">
      <c r="A39" s="58" t="s">
        <v>312</v>
      </c>
    </row>
    <row r="40" customFormat="false" ht="15" hidden="false" customHeight="true" outlineLevel="0" collapsed="false">
      <c r="A40" s="59"/>
    </row>
    <row r="41" customFormat="false" ht="15" hidden="false" customHeight="true" outlineLevel="0" collapsed="false">
      <c r="A41" s="61" t="s">
        <v>313</v>
      </c>
    </row>
    <row r="42" customFormat="false" ht="15" hidden="false" customHeight="true" outlineLevel="0" collapsed="false">
      <c r="A42" s="59"/>
    </row>
    <row r="43" customFormat="false" ht="15" hidden="false" customHeight="true" outlineLevel="0" collapsed="false">
      <c r="A43" s="60" t="s">
        <v>314</v>
      </c>
    </row>
    <row r="44" customFormat="false" ht="15" hidden="false" customHeight="true" outlineLevel="0" collapsed="false">
      <c r="A44" s="58" t="s">
        <v>315</v>
      </c>
    </row>
    <row r="45" customFormat="false" ht="15" hidden="false" customHeight="true" outlineLevel="0" collapsed="false">
      <c r="A45" s="58" t="s">
        <v>316</v>
      </c>
    </row>
    <row r="46" customFormat="false" ht="15" hidden="false" customHeight="true" outlineLevel="0" collapsed="false">
      <c r="A46" s="58" t="s">
        <v>317</v>
      </c>
    </row>
    <row r="47" customFormat="false" ht="15" hidden="false" customHeight="true" outlineLevel="0" collapsed="false">
      <c r="A47" s="58" t="s">
        <v>318</v>
      </c>
    </row>
    <row r="48" customFormat="false" ht="15" hidden="false" customHeight="true" outlineLevel="0" collapsed="false">
      <c r="A48" s="58" t="s">
        <v>319</v>
      </c>
    </row>
    <row r="49" customFormat="false" ht="15" hidden="false" customHeight="true" outlineLevel="0" collapsed="false">
      <c r="A49" s="58" t="s">
        <v>320</v>
      </c>
    </row>
    <row r="50" customFormat="false" ht="15" hidden="false" customHeight="true" outlineLevel="0" collapsed="false">
      <c r="A50" s="58" t="s">
        <v>321</v>
      </c>
    </row>
    <row r="51" customFormat="false" ht="15" hidden="false" customHeight="true" outlineLevel="0" collapsed="false">
      <c r="A51" s="58" t="s">
        <v>322</v>
      </c>
    </row>
    <row r="52" customFormat="false" ht="15" hidden="false" customHeight="true" outlineLevel="0" collapsed="false">
      <c r="A52" s="58" t="s">
        <v>323</v>
      </c>
    </row>
    <row r="53" customFormat="false" ht="15" hidden="false" customHeight="true" outlineLevel="0" collapsed="false">
      <c r="A53" s="58" t="s">
        <v>324</v>
      </c>
    </row>
    <row r="54" customFormat="false" ht="15" hidden="false" customHeight="true" outlineLevel="0" collapsed="false">
      <c r="A54" s="58" t="s">
        <v>325</v>
      </c>
    </row>
    <row r="55" customFormat="false" ht="15" hidden="false" customHeight="true" outlineLevel="0" collapsed="false">
      <c r="A55" s="58" t="s">
        <v>326</v>
      </c>
    </row>
    <row r="56" customFormat="false" ht="15" hidden="false" customHeight="true" outlineLevel="0" collapsed="false">
      <c r="A56" s="58" t="s">
        <v>327</v>
      </c>
    </row>
    <row r="57" customFormat="false" ht="15" hidden="false" customHeight="true" outlineLevel="0" collapsed="false">
      <c r="A57" s="58" t="s">
        <v>328</v>
      </c>
    </row>
    <row r="58" customFormat="false" ht="15" hidden="false" customHeight="false" outlineLevel="0" collapsed="false">
      <c r="A58" s="62" t="s">
        <v>329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2026-04-15T12:44:08Z</dcterms:created>
  <dc:creator>openpyxl</dc:creator>
  <dc:description/>
  <dc:language>en-US</dc:language>
  <cp:lastModifiedBy/>
  <dcterms:modified xsi:type="dcterms:W3CDTF">2026-04-15T12:44:08Z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