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KIETA_ETAP1" sheetId="1" state="visible" r:id="rId3"/>
    <sheet name="DANE_DTR_ETAP2" sheetId="2" state="visible" r:id="rId4"/>
    <sheet name="PASZPORT" sheetId="3" state="visible" r:id="rId5"/>
    <sheet name="SYSTEM_PROMP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<sst xmlns="http://schemas.openxmlformats.org/spreadsheetml/2006/main" count="354" uniqueCount="292">
  <si>
    <t xml:space="preserve">ENESA  ·  PASZPORT SYSTEMU OŚWIETLENIA  ·  A-EnMS-LGT-SYS-01  ·  ANKIETA ETAP 1</t>
  </si>
  <si>
    <t xml:space="preserve">LGT = Lighting  ·  Wypełnia: Energy Manager + Konsultant ENESA  ·  Przegląd całości oświetlenia zakładu</t>
  </si>
  <si>
    <t xml:space="preserve">ID SYSTEMU / ZAKŁAD:</t>
  </si>
  <si>
    <t xml:space="preserve">Data przeglądu:</t>
  </si>
  <si>
    <t xml:space="preserve">Konsultant / EM:</t>
  </si>
  <si>
    <t xml:space="preserve">Nr</t>
  </si>
  <si>
    <t xml:space="preserve">Pytanie / Obserwacja</t>
  </si>
  <si>
    <t xml:space="preserve">Odpowiedź (wpisz)</t>
  </si>
  <si>
    <t xml:space="preserve">Jedn.</t>
  </si>
  <si>
    <t xml:space="preserve">Wskazówka</t>
  </si>
  <si>
    <t xml:space="preserve">  BLOK A — ZESTAWIENIE STREF OŚWIETLENIOWYCH ZAKŁADU</t>
  </si>
  <si>
    <t xml:space="preserve">  Każda strefa oświetleniowa ma własny Paszport Urządzenia (A-EnMS-LGT-01).
  Ten paszport agreguje dane całego systemu oświetlenia zakładu.</t>
  </si>
  <si>
    <t xml:space="preserve">ID strefy / nazwa</t>
  </si>
  <si>
    <t xml:space="preserve">Technologia</t>
  </si>
  <si>
    <t xml:space="preserve">Moc [kW]</t>
  </si>
  <si>
    <t xml:space="preserve">E_el [MWh/rok]</t>
  </si>
  <si>
    <t xml:space="preserve">EnPI [kWh/m²/rok]</t>
  </si>
  <si>
    <t xml:space="preserve">SUMA SYSTEMU</t>
  </si>
  <si>
    <t xml:space="preserve">A-01</t>
  </si>
  <si>
    <t xml:space="preserve">Łączna liczba stref oświetleniowych w zakładzie</t>
  </si>
  <si>
    <t xml:space="preserve">szt.</t>
  </si>
  <si>
    <t xml:space="preserve">Hale produkcyjne + biura + magazyny + zewnętrzne + awaryjne = suma stref</t>
  </si>
  <si>
    <t xml:space="preserve">A-02</t>
  </si>
  <si>
    <t xml:space="preserve">Łączna moc zainstalowana oświetlenia [kW]</t>
  </si>
  <si>
    <t xml:space="preserve">kW</t>
  </si>
  <si>
    <t xml:space="preserve">Suma z tabeli powyżej. Obejmuje wszystkie strefy</t>
  </si>
  <si>
    <t xml:space="preserve">A-03</t>
  </si>
  <si>
    <t xml:space="preserve">Łączna powierzchnia oświetlana [m²]</t>
  </si>
  <si>
    <t xml:space="preserve">m²</t>
  </si>
  <si>
    <t xml:space="preserve">Suma powierzchni wszystkich stref</t>
  </si>
  <si>
    <t xml:space="preserve">A-04</t>
  </si>
  <si>
    <t xml:space="preserve">Dominująca technologia w zakładzie (% udziału)</t>
  </si>
  <si>
    <t xml:space="preserve">np. '70% LED, 25% T8, 5% HPS' lub 'głównie LED od 2021' lub 'mieszana — różne wiek'</t>
  </si>
  <si>
    <t xml:space="preserve">A-05</t>
  </si>
  <si>
    <t xml:space="preserve">Rok ostatniej znaczącej modernizacji oświetlenia</t>
  </si>
  <si>
    <t xml:space="preserve">rok</t>
  </si>
  <si>
    <t xml:space="preserve">Rok wymiany najnowszej technologii. Jeśli brak modernizacji — rok budowy zakładu</t>
  </si>
  <si>
    <t xml:space="preserve">A-06</t>
  </si>
  <si>
    <t xml:space="preserve">Czy jest aktualny projekt / inwentarz oświetlenia zakładu?</t>
  </si>
  <si>
    <t xml:space="preserve">TAK — projekt elektryczny z listą opraw / NIE — brak dokumentacji
Brak inwentarza = audyt wymaga pełnej inwentaryzacji na miejscu</t>
  </si>
  <si>
    <t xml:space="preserve">  BLOK B — STEROWANIE SYSTEMOWE I SMART LIGHTING</t>
  </si>
  <si>
    <t xml:space="preserve">B-01</t>
  </si>
  <si>
    <t xml:space="preserve">Czy zakład ma zintegrowany system sterowania oświetleniem (BMS/DALI)?</t>
  </si>
  <si>
    <t xml:space="preserve">TAK — platforma (np. Helvar, Tridonic, Casambi, Zumtobel sensXact) / NIE — lokalne sterowanie
BMS oświetlenia = możliwość monitoringu, harmonogramów, raporty zużycia wg stref</t>
  </si>
  <si>
    <t xml:space="preserve">B-02</t>
  </si>
  <si>
    <t xml:space="preserve">Jaki % powierzchni ma automatyczne sterowanie (czujniki obecności / daylight)?</t>
  </si>
  <si>
    <t xml:space="preserve">%</t>
  </si>
  <si>
    <t xml:space="preserve">Szacunek: 0-100%. &lt;20% = duży potencjał / 50-80% = dobry poziom / &gt;80% = zaawansowany</t>
  </si>
  <si>
    <t xml:space="preserve">B-03</t>
  </si>
  <si>
    <t xml:space="preserve">Jaki % stref ma liczniki energii elektrycznej?</t>
  </si>
  <si>
    <t xml:space="preserve">Liczniki per strefa = możliwość obliczenia EnPI dla każdej strefy oddzielnie</t>
  </si>
  <si>
    <t xml:space="preserve">B-04</t>
  </si>
  <si>
    <t xml:space="preserve">Czy jest centralny monitoring zużycia energii przez oświetlenie?</t>
  </si>
  <si>
    <t xml:space="preserve">TAK — platforma z raportami / NIE — brak monitoringu. ISO 50001: monitoring wymagany dla SEU</t>
  </si>
  <si>
    <t xml:space="preserve">B-05</t>
  </si>
  <si>
    <t xml:space="preserve">Czy przeprowadzono ostatnio audyt oświetlenia (lux-measurements)?</t>
  </si>
  <si>
    <t xml:space="preserve">TAK — kiedy i przez kogo / NIE. Audyt oświetlenia = pomiary luxmierzem + obliczenia EnPI</t>
  </si>
  <si>
    <t xml:space="preserve">  BLOK C — DANE ENERGETYCZNE I KOSZTY</t>
  </si>
  <si>
    <t xml:space="preserve">C-01</t>
  </si>
  <si>
    <t xml:space="preserve">Roczne zużycie energii elektrycznej przez oświetlenie [kWh/rok]</t>
  </si>
  <si>
    <t xml:space="preserve">kWh/rok</t>
  </si>
  <si>
    <t xml:space="preserve">Z licznika dedykowanego lub szacunek z faktur. Jeśli brak wyodrębnienia — szacunek: P_łączna [kW] × średni_czas_pracy [h/rok]</t>
  </si>
  <si>
    <t xml:space="preserve">C-02</t>
  </si>
  <si>
    <t xml:space="preserve">Roczny koszt energii oświetlenia [zł/rok]</t>
  </si>
  <si>
    <t xml:space="preserve">zł/rok</t>
  </si>
  <si>
    <t xml:space="preserve">Z faktur lub oblicz: E_el × cena_energii</t>
  </si>
  <si>
    <t xml:space="preserve">C-03</t>
  </si>
  <si>
    <t xml:space="preserve">Jaki % łącznego zużycia energii zakładu stanowi oświetlenie?</t>
  </si>
  <si>
    <t xml:space="preserve">Typowo: 5-30%. Hale przemysłowe: 5-15% / Biura: 15-30% / Magazyny: 15-25%</t>
  </si>
  <si>
    <t xml:space="preserve">C-04</t>
  </si>
  <si>
    <t xml:space="preserve">Średni roczny czas pracy oświetlenia w zakładzie [h/rok]</t>
  </si>
  <si>
    <t xml:space="preserve">h/rok</t>
  </si>
  <si>
    <t xml:space="preserve">Ważona średnia dla wszystkich stref. Typowo: 2000h (1 zmiana) do 6000h (3 zmiany)</t>
  </si>
  <si>
    <t xml:space="preserve">  BLOK D — PLAN MODERNIZACJI</t>
  </si>
  <si>
    <t xml:space="preserve">D-01</t>
  </si>
  <si>
    <t xml:space="preserve">Czy zakład ma plan wymiany świetlówek T8/T5 na LED?</t>
  </si>
  <si>
    <t xml:space="preserve">TAK — harmonogram i budżet / TAK — planowane ale bez harmonogramu / NIE
OBOWIĄZEK od IX.2023 — zakaz zakupu zapasowych T8/T5</t>
  </si>
  <si>
    <t xml:space="preserve">D-02</t>
  </si>
  <si>
    <t xml:space="preserve">Szacowana liczba świetlówek T8/T5 do wymiany (cały zakład)</t>
  </si>
  <si>
    <t xml:space="preserve">Suma z paszportów stref (Etap1 Z-01 każdej strefy)</t>
  </si>
  <si>
    <t xml:space="preserve">D-03</t>
  </si>
  <si>
    <t xml:space="preserve">Szacowany koszt wymiany na LED (cały zakład)</t>
  </si>
  <si>
    <t xml:space="preserve">tys. zł</t>
  </si>
  <si>
    <t xml:space="preserve">Rynkowa cena wymiany: LED high-bay 150W ≈ 300-500 zł/szt. + montaż
Typowo: 200-600 zł/szt. oprawy przemysłowej + 50-150 zł/szt. montaż</t>
  </si>
  <si>
    <t xml:space="preserve">D-04</t>
  </si>
  <si>
    <t xml:space="preserve">Priorytet wymiany — które strefy pierwsze?</t>
  </si>
  <si>
    <t xml:space="preserve">Wskaż strefy z największym potencjałem oszczędności (najdłuższy czas pracy + najstarsza technologia)</t>
  </si>
  <si>
    <t xml:space="preserve">  BLOK Z — COMPLIANCE SYSTEMOWY: ECODESIGN + ISO 50001  ★ NIEZGODNOŚCI</t>
  </si>
  <si>
    <t xml:space="preserve">COMPLIANCE LGT — ROZPORZĄDZENIE UE 2019/2020 (ECODESIGN):
• Od 01.09.2023: ZAKAZ SPRZEDAŻY świetlówek T8, T5, kompaktowych świetlówek CFL — istniejące mogą działać do wyeksploatowania, ALE: zakup zapasowych jest nielegalny
• Halogeny: wycofane od 2018 r. (z wyjątkiem specjalnych zastosowań)
• Minimum efektywności LED (Rozp. EU 2021/2015): klasa E lub wyższa (F/G zakazane od 2021)
• Brak obowiązku kontroli jak HTG/COOL, ale ISO 50001 wymaga monitorowania SEU</t>
  </si>
  <si>
    <t xml:space="preserve">Z-01</t>
  </si>
  <si>
    <t xml:space="preserve">Ile ŁĄCZNIE świetlówek T8/T5 jest w zakładzie (suma ze wszystkich stref)?</t>
  </si>
  <si>
    <t xml:space="preserve">Suma z paszportów stref. Zakaz zakupu zapasowych od IX.2023 — wszystkie muszą trafić na plan wymiany
0 szt. = zgodny / &gt;0 szt. = plan wymiany na LED wymagany</t>
  </si>
  <si>
    <t xml:space="preserve">Z-02</t>
  </si>
  <si>
    <t xml:space="preserve">Ile halogenów w zakładzie?</t>
  </si>
  <si>
    <t xml:space="preserve">0 szt. = OK / &gt;0 szt. = niezgodność (wycofane od 2018)</t>
  </si>
  <si>
    <t xml:space="preserve">Z-03</t>
  </si>
  <si>
    <t xml:space="preserve">Czy zakład jest SEU dla oświetlenia wg ISO 50001?</t>
  </si>
  <si>
    <t xml:space="preserve">TAK gdy oświetlenie zużywa &gt;50 MWh/rok LUB &gt;10% całkowitego zużycia energii
Jeśli TAK: wymagane pomiary natężenia, EnPI, EnB, plan poprawy</t>
  </si>
  <si>
    <t xml:space="preserve">Z-04</t>
  </si>
  <si>
    <t xml:space="preserve">Czy pomiary natężenia oświetlenia (luxmierz) są wykonywane regularnie?</t>
  </si>
  <si>
    <t xml:space="preserve">TAK — protokoły z pomiarów dostępne / NIE — BRAK
ISO 50001 SEU: pomiary wymagane. PN-EN 12464-1: norma natężeń wg zastosowania</t>
  </si>
  <si>
    <t xml:space="preserve">Z-05</t>
  </si>
  <si>
    <t xml:space="preserve">Czy oświetlenie awaryjne jest testowane (testy miesięczne i roczne)?</t>
  </si>
  <si>
    <t xml:space="preserve">TAK — dziennik testów dostępny / NIE — NIEZGODNOŚĆ BHP
PN-EN 50172: test 1h co miesiąc + test 3h co rok</t>
  </si>
  <si>
    <t xml:space="preserve">Z-06</t>
  </si>
  <si>
    <t xml:space="preserve">STWIERDZONE NIEZGODNOŚCI SYSTEMOWE — lista do Z-ZSZ-REG-01</t>
  </si>
  <si>
    <t xml:space="preserve">np. 'T8 — 186 szt. do wymiany (plan LED); awaryjne bez testów w Hali B'
BRAK = system oświetlenia zgodny z wymaganiami</t>
  </si>
  <si>
    <t xml:space="preserve">  ENESA  ·  A-EnMS-LGT-SYS-01  ·  ANKIETA ETAP 1  ·  v3.0  ·  LGT=Lighting  ·  Rozp.UE 2019/2020  ·  PN-EN 12464-1  ·  ISO 50001</t>
  </si>
  <si>
    <t xml:space="preserve">ENESA  ·  PASZPORT SYSTEMU OŚWIETLENIA  ·  A-EnMS-LGT-SYS-01  ·  ETAP 2 OBLICZENIA</t>
  </si>
  <si>
    <t xml:space="preserve">Wypełnia: Energy Manager + Konsultant  ·  Pola NIEBIESKIE = wpisz  ·  Pola SZARE = formuły</t>
  </si>
  <si>
    <t xml:space="preserve">Parametr / Obliczenie</t>
  </si>
  <si>
    <t xml:space="preserve">Wartość</t>
  </si>
  <si>
    <t xml:space="preserve">Norma / Źródło</t>
  </si>
  <si>
    <t xml:space="preserve">Komentarz / Wzór</t>
  </si>
  <si>
    <t xml:space="preserve">  SEKCJA 1 — ZESTAWIENIE STREF OŚWIETLENIOWYCH SYSTEMU</t>
  </si>
  <si>
    <t xml:space="preserve">ID / Nazwa strefy</t>
  </si>
  <si>
    <t xml:space="preserve">Status Ecodesign</t>
  </si>
  <si>
    <t xml:space="preserve">  SEKCJA 2 — INPUTY I OBLICZENIA SYSTEMOWE</t>
  </si>
  <si>
    <t xml:space="preserve">E_el system [kWh/rok] — z licznika</t>
  </si>
  <si>
    <t xml:space="preserve">Licznik / Etap1 C-01</t>
  </si>
  <si>
    <t xml:space="preserve">Powierzchnia oświetlana łącznie [m²]</t>
  </si>
  <si>
    <t xml:space="preserve">Etap1 A-03</t>
  </si>
  <si>
    <t xml:space="preserve">Moc zainstalowana łącznie [kW]</t>
  </si>
  <si>
    <t xml:space="preserve">Etap1 A-02</t>
  </si>
  <si>
    <t xml:space="preserve">Cena energii elektrycznej [zł/kWh]</t>
  </si>
  <si>
    <t xml:space="preserve">zł/kWh</t>
  </si>
  <si>
    <t xml:space="preserve">Faktura</t>
  </si>
  <si>
    <t xml:space="preserve">Średni czas pracy oświetlenia [h/rok]</t>
  </si>
  <si>
    <t xml:space="preserve">Etap1 C-04</t>
  </si>
  <si>
    <t xml:space="preserve">EnPI_pow system [kWh/m²/rok]</t>
  </si>
  <si>
    <t xml:space="preserve">kWh/m²/rok</t>
  </si>
  <si>
    <t xml:space="preserve">OBLICZONA</t>
  </si>
  <si>
    <t xml:space="preserve"> = E_el_system / pow_łączna. Benchmark: mieszane &lt;20 · głównie LED &lt;12 · stare T8 &gt;30</t>
  </si>
  <si>
    <t xml:space="preserve">Gęstość mocy systemu [W/m²]</t>
  </si>
  <si>
    <t xml:space="preserve">W/m²</t>
  </si>
  <si>
    <t xml:space="preserve">OBLICZONA · PN-EN 15193</t>
  </si>
  <si>
    <t xml:space="preserve"> = P_kW × 1000 / pow. Benchmark: LED hale &lt;8 · biura &lt;10 · T8 hale 15-25</t>
  </si>
  <si>
    <t xml:space="preserve">Koszt energii oświetlenia [zł/rok]</t>
  </si>
  <si>
    <t xml:space="preserve">Walidacja |ΔE| system vs suma stref [%]</t>
  </si>
  <si>
    <t xml:space="preserve">OBLICZONA · P-EnMS-02</t>
  </si>
  <si>
    <t xml:space="preserve">Decyzja modelu</t>
  </si>
  <si>
    <t xml:space="preserve">Potencjał wymiany T8→LED [kWh/rok]</t>
  </si>
  <si>
    <t xml:space="preserve">Szacunek</t>
  </si>
  <si>
    <t xml:space="preserve">Etap1 D-02 × moc_T8 × h_pracy × 0.5 (LED zużywa ~50% mniej)</t>
  </si>
  <si>
    <t xml:space="preserve">Wartość potencjału [zł/rok]</t>
  </si>
  <si>
    <t xml:space="preserve">Potencjał automatyki (czujniki) [kWh/rok]</t>
  </si>
  <si>
    <t xml:space="preserve">Szacunek ENESA</t>
  </si>
  <si>
    <t xml:space="preserve">~25% zużycia przy instalacji czujników obecności</t>
  </si>
  <si>
    <t xml:space="preserve">Łączny potencjał oszczędności [kWh/rok]</t>
  </si>
  <si>
    <t xml:space="preserve"> = potencjał LED + potencjał automatyki</t>
  </si>
  <si>
    <t xml:space="preserve">  SEKCJA 3 — COMPLIANCE SYSTEMOWY: ECODESIGN + ISO 50001</t>
  </si>
  <si>
    <t xml:space="preserve">Łączna liczba świetlówek T8/T5 w zakładzie [szt.]</t>
  </si>
  <si>
    <t xml:space="preserve">Etap1 Z-01</t>
  </si>
  <si>
    <t xml:space="preserve">Suma ze wszystkich stref. 0 = zgodny / &gt;0 = plan wymiany wymagany</t>
  </si>
  <si>
    <t xml:space="preserve">Łączna liczba halogenów [szt.]</t>
  </si>
  <si>
    <t xml:space="preserve">Etap1 Z-02</t>
  </si>
  <si>
    <t xml:space="preserve">0 = OK / &gt;0 = niezgodność Rozp.UE 2019/2020</t>
  </si>
  <si>
    <t xml:space="preserve">Czy oświetlenie jest SEU ISO 50001?</t>
  </si>
  <si>
    <t xml:space="preserve">Etap1 Z-03</t>
  </si>
  <si>
    <t xml:space="preserve">TAK gdy &gt;50 MWh/rok lub &gt;10% energii zakładu → wymagane: EnPI, EnB, plan</t>
  </si>
  <si>
    <t xml:space="preserve">STATUS COMPLIANCE SYSTEMU LGT</t>
  </si>
  <si>
    <t xml:space="preserve">OBLICZONA · KLUCZOWE</t>
  </si>
  <si>
    <t xml:space="preserve">Niezgodności do Z-ZSZ-REG-01</t>
  </si>
  <si>
    <t xml:space="preserve">Etap1 Z-06</t>
  </si>
  <si>
    <t xml:space="preserve">Przepisz z Z-06. Każda niezgodność = wpis do rejestru wymagań prawnych</t>
  </si>
  <si>
    <t xml:space="preserve">Plan modernizacji LED — status</t>
  </si>
  <si>
    <t xml:space="preserve">Etap1 D-01</t>
  </si>
  <si>
    <t xml:space="preserve">TAK z harmonogramem / Planowane / NIE — brak planu</t>
  </si>
  <si>
    <t xml:space="preserve">  ENESA  ·  A-EnMS-LGT-SYS-01  ·  ETAP 2  ·  v3.0  ·  Rozp.UE 2019/2020 · PN-EN 12464-1 · PN-EN 15193 · ISO 50001</t>
  </si>
  <si>
    <t xml:space="preserve">PASZPORT SYSTEMU OŚWIETLENIA  ·  A-EnMS-LGT-SYS-01</t>
  </si>
  <si>
    <t xml:space="preserve">ISO 50001  ·  LGT=Lighting  ·  ENESA  ·  Rozp.UE 2019/2020 Ecodesign  ·  Wersja 3.0</t>
  </si>
  <si>
    <t xml:space="preserve">ID SYSTEMU:</t>
  </si>
  <si>
    <t xml:space="preserve">Data:</t>
  </si>
  <si>
    <t xml:space="preserve">Status:</t>
  </si>
  <si>
    <t xml:space="preserve">  1.  IDENTYFIKACJA SYSTEMU</t>
  </si>
  <si>
    <t xml:space="preserve">Zakład</t>
  </si>
  <si>
    <t xml:space="preserve">[z nagłówka]</t>
  </si>
  <si>
    <t xml:space="preserve">Liczba stref oświetleniowych</t>
  </si>
  <si>
    <t xml:space="preserve">[z Etap1 A-01]</t>
  </si>
  <si>
    <t xml:space="preserve">Łączna moc zainstalowana [kW]</t>
  </si>
  <si>
    <t xml:space="preserve">[z DTR Sek.1 SUMA]</t>
  </si>
  <si>
    <t xml:space="preserve">Łączna powierzchnia [m²]</t>
  </si>
  <si>
    <t xml:space="preserve">[z DTR Sek.2]</t>
  </si>
  <si>
    <t xml:space="preserve">Dominująca technologia</t>
  </si>
  <si>
    <t xml:space="preserve">[z Etap1 A-04]</t>
  </si>
  <si>
    <t xml:space="preserve">Rok ostatniej modernizacji</t>
  </si>
  <si>
    <t xml:space="preserve">[z Etap1 A-05]</t>
  </si>
  <si>
    <t xml:space="preserve">System sterowania BMS/DALI</t>
  </si>
  <si>
    <t xml:space="preserve">[z Etap1 B-01]</t>
  </si>
  <si>
    <t xml:space="preserve">% stref z automatyką</t>
  </si>
  <si>
    <t xml:space="preserve">[z Etap1 B-02]</t>
  </si>
  <si>
    <t xml:space="preserve">Monitoring energii oświetlenia</t>
  </si>
  <si>
    <t xml:space="preserve">[z Etap1 B-04]</t>
  </si>
  <si>
    <t xml:space="preserve">  2.  KLUCZOWE WSKAŹNIKI EnPI SYSTEMU OŚWIETLENIA  ★</t>
  </si>
  <si>
    <t xml:space="preserve">Wskaźnik</t>
  </si>
  <si>
    <t xml:space="preserve">Jednostka</t>
  </si>
  <si>
    <t xml:space="preserve">Benchmark</t>
  </si>
  <si>
    <t xml:space="preserve">Klasyfikacja</t>
  </si>
  <si>
    <t xml:space="preserve">EnPI_pow [kWh/m²/rok]</t>
  </si>
  <si>
    <t xml:space="preserve">Mieszane &lt;20 · Głównie LED &lt;12 · T8 dominuje &gt;30</t>
  </si>
  <si>
    <t xml:space="preserve">[auto]</t>
  </si>
  <si>
    <t xml:space="preserve">Gęstość mocy [W/m²]</t>
  </si>
  <si>
    <t xml:space="preserve">LED hale &lt;8 · LED biura &lt;10 · T8 hale 15-25 · T8 biura 15-20</t>
  </si>
  <si>
    <t xml:space="preserve">Walidacja |ΔE| [%]</t>
  </si>
  <si>
    <t xml:space="preserve">≤10% zatwierdzony</t>
  </si>
  <si>
    <t xml:space="preserve">~50% E_T8</t>
  </si>
  <si>
    <t xml:space="preserve">Potencjał automatyki [kWh/rok]</t>
  </si>
  <si>
    <t xml:space="preserve">~25% E_el</t>
  </si>
  <si>
    <t xml:space="preserve">Łączny potencjał [kWh/rok]</t>
  </si>
  <si>
    <t xml:space="preserve">Suma powyższych</t>
  </si>
  <si>
    <t xml:space="preserve">  3.  COMPLIANCE ECODESIGN + ISO 50001  ★★</t>
  </si>
  <si>
    <t xml:space="preserve">Wymaganie</t>
  </si>
  <si>
    <t xml:space="preserve">Stan</t>
  </si>
  <si>
    <t xml:space="preserve">STATUS SYSTEMU</t>
  </si>
  <si>
    <t xml:space="preserve">Podstawa prawna</t>
  </si>
  <si>
    <t xml:space="preserve">[z DTR Sek.3]</t>
  </si>
  <si>
    <t xml:space="preserve">[AUTO]</t>
  </si>
  <si>
    <t xml:space="preserve">Ecodesign + ISO 50001</t>
  </si>
  <si>
    <t xml:space="preserve">T8/T5 do wymiany (łącznie)</t>
  </si>
  <si>
    <t xml:space="preserve">Rozp.UE 2019/2020 od IX.2023</t>
  </si>
  <si>
    <t xml:space="preserve">Halogeny do wymiany</t>
  </si>
  <si>
    <t xml:space="preserve">Rozp.UE 2019/2020 od 2018</t>
  </si>
  <si>
    <t xml:space="preserve">Plan modernizacji LED</t>
  </si>
  <si>
    <t xml:space="preserve">[z Etap1 D-01]</t>
  </si>
  <si>
    <t xml:space="preserve">TAK+harmonogram / Planowane / NIE</t>
  </si>
  <si>
    <t xml:space="preserve">Oświetlenie awaryjne — testy</t>
  </si>
  <si>
    <t xml:space="preserve">[z Etap1 Z-05]</t>
  </si>
  <si>
    <t xml:space="preserve">PN-EN 50172 · BHP</t>
  </si>
  <si>
    <t xml:space="preserve">Czy LGT jest SEU ISO 50001?</t>
  </si>
  <si>
    <t xml:space="preserve">TAK→EnPI+EnB+plan / NIE</t>
  </si>
  <si>
    <t xml:space="preserve">Niezgodności → Z-ZSZ-REG-01</t>
  </si>
  <si>
    <t xml:space="preserve">[z Etap1 Z-06]</t>
  </si>
  <si>
    <t xml:space="preserve">Każda = wpis do rejestru</t>
  </si>
  <si>
    <t xml:space="preserve">  4.  ZESTAWIENIE STREF</t>
  </si>
  <si>
    <t xml:space="preserve">E_el [MWh]</t>
  </si>
  <si>
    <t xml:space="preserve">EnPI [kWh/m²]</t>
  </si>
  <si>
    <t xml:space="preserve">Ecodesign</t>
  </si>
  <si>
    <t xml:space="preserve">[LGT-01]</t>
  </si>
  <si>
    <t xml:space="preserve">[LGT-02]</t>
  </si>
  <si>
    <t xml:space="preserve">[LGT-03]</t>
  </si>
  <si>
    <t xml:space="preserve">[LGT-04]</t>
  </si>
  <si>
    <t xml:space="preserve">[LGT-05]</t>
  </si>
  <si>
    <t xml:space="preserve">[LGT-06]</t>
  </si>
  <si>
    <t xml:space="preserve">[LGT-07]</t>
  </si>
  <si>
    <t xml:space="preserve">[LGT-08]</t>
  </si>
  <si>
    <t xml:space="preserve">[LGT-09]</t>
  </si>
  <si>
    <t xml:space="preserve">[LGT-10]</t>
  </si>
  <si>
    <t xml:space="preserve">  5.  ZATWIERDZENIE</t>
  </si>
  <si>
    <t xml:space="preserve">Energy Manager:</t>
  </si>
  <si>
    <t xml:space="preserve">Podpis: ________________</t>
  </si>
  <si>
    <t xml:space="preserve">________________</t>
  </si>
  <si>
    <t xml:space="preserve">Konsultant ENESA:</t>
  </si>
  <si>
    <t xml:space="preserve">  ENESA  ·  A-EnMS-LGT-SYS-01  ·  Paszport Systemu Oświetlenia  ·  v3.0  ·  LGT=Lighting</t>
  </si>
  <si>
    <t xml:space="preserve">ENESA  ·  SYSTEM PROMPT — AGENT 1  ·  OŚWIETLENIE (LGT = Lighting)</t>
  </si>
  <si>
    <t xml:space="preserve">Skopiuj od wiersza 5 do ###DANE_KOMPLETNE### do konfiguracji Agenta 1</t>
  </si>
  <si>
    <t xml:space="preserve">ℹ️  LGT = Lighting (angielski skrót systemów oświetleniowych — analogicznie CA, VAC, HTG, COOL)</t>
  </si>
  <si>
    <t xml:space="preserve">── POCZĄTEK SYSTEM PROMPTU ──</t>
  </si>
  <si>
    <t xml:space="preserve">Jesteś Agentem 1 (Scout) ENESA — przeprowadzasz systemowy przegląd oświetlenia zakładu.</t>
  </si>
  <si>
    <t xml:space="preserve">LGT = Lighting — angielski skrót w nomenklaturze systemów energetycznych ENESA.</t>
  </si>
  <si>
    <t xml:space="preserve">Rozmawiasz z Energy Managerem lub Konsultantem ENESA.</t>
  </si>
  <si>
    <t xml:space="preserve"> === BLOK A — ZESTAWIENIE STREF (tabela + A-01 do A-06) ===</t>
  </si>
  <si>
    <t xml:space="preserve">Tabela stref: ID · technologia · moc [kW] · E_el [MWh/rok] · EnPI.</t>
  </si>
  <si>
    <t xml:space="preserve">A-01 do A-06: liczba stref, łączna moc, powierzchnia, dominująca tech, rok modernizacji, projekt.</t>
  </si>
  <si>
    <t xml:space="preserve"> === BLOK B — STEROWANIE SYSTEMOWE (B-01 do B-05) ===</t>
  </si>
  <si>
    <t xml:space="preserve">B-01: BMS/DALI systemowy. B-02: % stref z automatyką.</t>
  </si>
  <si>
    <t xml:space="preserve">B-03: % stref z licznikami. B-04: centralny monitoring. B-05: audyt luxmierza.</t>
  </si>
  <si>
    <t xml:space="preserve"> === BLOK C — DANE ENERGETYCZNE (C-01 do C-04) ===</t>
  </si>
  <si>
    <t xml:space="preserve">C-01: E_el [kWh/rok]. C-02: koszt [zł/rok]. C-03: % udziału w energii zakładu. C-04: h/rok.</t>
  </si>
  <si>
    <t xml:space="preserve"> === BLOK D — PLAN MODERNIZACJI (D-01 do D-04) ===</t>
  </si>
  <si>
    <t xml:space="preserve">D-01: plan wymiany T8→LED. D-02: liczba T8/T5 do wymiany. D-03: koszt [tys.zł]. D-04: priorytet.</t>
  </si>
  <si>
    <t xml:space="preserve"> === BLOK Z — COMPLIANCE SYSTEMOWY (Z-01 do Z-06) — ZAWSZE ===</t>
  </si>
  <si>
    <t xml:space="preserve">Z-01: T8/T5 łącznie w zakładzie [szt.]. Z-02: halogeny [szt.].</t>
  </si>
  <si>
    <t xml:space="preserve">Z-03: SEU ISO 50001? Z-04: pomiary luxmierzem regularne?</t>
  </si>
  <si>
    <t xml:space="preserve">Z-05: testy oświetlenia awaryjnego wykonywane?</t>
  </si>
  <si>
    <t xml:space="preserve">Z-06: lista niezgodności do Z-ZSZ-REG-01.</t>
  </si>
  <si>
    <t xml:space="preserve">Wpisz: ###DANE_KOMPLETNE###</t>
  </si>
  <si>
    <t xml:space="preserve"> === MAPOWANIE JSON ===</t>
  </si>
  <si>
    <t xml:space="preserve">{</t>
  </si>
  <si>
    <t xml:space="preserve">  'zone_count': 'A-01', 'total_power_kw': 'A-02',</t>
  </si>
  <si>
    <t xml:space="preserve">  'total_area_m2': 'A-03', 'dominant_technology': 'A-04',</t>
  </si>
  <si>
    <t xml:space="preserve">  'last_upgrade_year': 'A-05', 'has_lighting_schema': 'A-06',</t>
  </si>
  <si>
    <t xml:space="preserve">  'has_bms_dali': 'B-01', 'automation_pct': 'B-02',</t>
  </si>
  <si>
    <t xml:space="preserve">  'metering_pct': 'B-03', 'has_central_monitoring': 'B-04',</t>
  </si>
  <si>
    <t xml:space="preserve">  'energy_kwh_year': 'C-01', 'energy_cost_pln': 'C-02',</t>
  </si>
  <si>
    <t xml:space="preserve">  'energy_share_pct': 'C-03', 'operating_hours': 'C-04',</t>
  </si>
  <si>
    <t xml:space="preserve">  'has_led_plan': 'D-01', 't8_count_total': 'D-02',</t>
  </si>
  <si>
    <t xml:space="preserve">  'led_upgrade_cost': 'D-03',</t>
  </si>
  <si>
    <t xml:space="preserve">  't8_t5_total': 'Z-01', 'halogens_total': 'Z-02',</t>
  </si>
  <si>
    <t xml:space="preserve">  'is_seu': 'Z-03', 'has_lux_measurements': 'Z-04',</t>
  </si>
  <si>
    <t xml:space="preserve">  'emergency_tests_done': 'Z-05', 'compliance_issues': 'Z-06'</t>
  </si>
  <si>
    <t xml:space="preserve">}</t>
  </si>
  <si>
    <t xml:space="preserve">── KONIEC SYSTEM PROMPTU ──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</si>
</sst>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1A3A5C"/>
      <name val="Arial"/>
      <family val="0"/>
      <charset val="1"/>
    </font>
    <font>
      <sz val="9"/>
      <color rgb="FF1A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4A7C3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A3A5C"/>
      <name val="Arial"/>
      <family val="0"/>
      <charset val="1"/>
    </font>
    <font>
      <b val="true"/>
      <sz val="10"/>
      <color rgb="FF4A7C3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sz val="10"/>
      <color rgb="FF000080"/>
      <name val="Arial"/>
      <family val="0"/>
      <charset val="1"/>
    </font>
    <font>
      <b val="true"/>
      <sz val="11"/>
      <color rgb="FF1A3A5C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sz val="9"/>
      <color rgb="FF1A1A2E"/>
      <name val="Courier New"/>
      <family val="0"/>
      <charset val="1"/>
    </font>
    <font>
      <sz val="9"/>
      <name val="Courier New"/>
      <family val="0"/>
      <charset val="1"/>
    </font>
    <font>
      <b val="true"/>
      <sz val="10"/>
      <color rgb="FF4A7C3F"/>
      <name val="Courier New"/>
      <family val="0"/>
      <charset val="1"/>
    </font>
    <font>
      <b val="true"/>
      <sz val="10"/>
      <color rgb="FFC0392B"/>
      <name val="Courier New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4A7C3F"/>
        <bgColor rgb="FF1E7B34"/>
      </patternFill>
    </fill>
    <fill>
      <patternFill patternType="solid">
        <fgColor rgb="FFD9EDD6"/>
        <bgColor rgb="FFD9F0E0"/>
      </patternFill>
    </fill>
    <fill>
      <patternFill patternType="solid">
        <fgColor rgb="FFFFF2CC"/>
        <bgColor rgb="FFF4F4F4"/>
      </patternFill>
    </fill>
    <fill>
      <patternFill patternType="solid">
        <fgColor rgb="FFFFFFFF"/>
        <bgColor rgb="FFF4F4F4"/>
      </patternFill>
    </fill>
    <fill>
      <patternFill patternType="solid">
        <fgColor rgb="FFF4F4F4"/>
        <bgColor rgb="FFF0F4F8"/>
      </patternFill>
    </fill>
    <fill>
      <patternFill patternType="solid">
        <fgColor rgb="FF2E6DA4"/>
        <bgColor rgb="FF1A7A6E"/>
      </patternFill>
    </fill>
    <fill>
      <patternFill patternType="solid">
        <fgColor rgb="FFE87722"/>
        <bgColor rgb="FFFF9900"/>
      </patternFill>
    </fill>
    <fill>
      <patternFill patternType="solid">
        <fgColor rgb="FF1E7B34"/>
        <bgColor rgb="FF1A7A6E"/>
      </patternFill>
    </fill>
    <fill>
      <patternFill patternType="solid">
        <fgColor rgb="FFC0392B"/>
        <bgColor rgb="FF993366"/>
      </patternFill>
    </fill>
    <fill>
      <patternFill patternType="solid">
        <fgColor rgb="FFFADBD8"/>
        <bgColor rgb="FFFFF2CC"/>
      </patternFill>
    </fill>
    <fill>
      <patternFill patternType="solid">
        <fgColor rgb="FF1A3A5C"/>
        <bgColor rgb="FF333399"/>
      </patternFill>
    </fill>
    <fill>
      <patternFill patternType="solid">
        <fgColor rgb="FFEBF3FB"/>
        <bgColor rgb="FFF0F4F8"/>
      </patternFill>
    </fill>
    <fill>
      <patternFill patternType="solid">
        <fgColor rgb="FFF0F4F8"/>
        <bgColor rgb="FFF4F4F4"/>
      </patternFill>
    </fill>
    <fill>
      <patternFill patternType="solid">
        <fgColor rgb="FFD0EEEB"/>
        <bgColor rgb="FFD9F0E0"/>
      </patternFill>
    </fill>
    <fill>
      <patternFill patternType="solid">
        <fgColor rgb="FFD6E4F0"/>
        <bgColor rgb="FFD0EEEB"/>
      </patternFill>
    </fill>
    <fill>
      <patternFill patternType="solid">
        <fgColor rgb="FFD9F0E0"/>
        <bgColor rgb="FFD9EDD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4A7C3F"/>
      </left>
      <right style="thin">
        <color rgb="FF4A7C3F"/>
      </right>
      <top style="thin">
        <color rgb="FF4A7C3F"/>
      </top>
      <bottom style="thin">
        <color rgb="FF4A7C3F"/>
      </bottom>
      <diagonal/>
    </border>
    <border diagonalUp="false" diagonalDown="false"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 diagonalUp="false" diagonalDown="false"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1A7A6E"/>
      <rgbColor rgb="FFCCCCCC"/>
      <rgbColor rgb="FF7F7F7F"/>
      <rgbColor rgb="FF9999FF"/>
      <rgbColor rgb="FF993366"/>
      <rgbColor rgb="FFFFF2CC"/>
      <rgbColor rgb="FFD0EEEB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9F0E0"/>
      <rgbColor rgb="FFF4F4F4"/>
      <rgbColor rgb="FFD9EDD6"/>
      <rgbColor rgb="FFF0F4F8"/>
      <rgbColor rgb="FFCC99FF"/>
      <rgbColor rgb="FFFADBD8"/>
      <rgbColor rgb="FF3366FF"/>
      <rgbColor rgb="FF33CCCC"/>
      <rgbColor rgb="FF99CC00"/>
      <rgbColor rgb="FFFFCC00"/>
      <rgbColor rgb="FFFF9900"/>
      <rgbColor rgb="FFE87722"/>
      <rgbColor rgb="FF666699"/>
      <rgbColor rgb="FF969696"/>
      <rgbColor rgb="FF1A3A5C"/>
      <rgbColor rgb="FF4A7C3F"/>
      <rgbColor rgb="FF003300"/>
      <rgbColor rgb="FF333300"/>
      <rgbColor rgb="FFC0392B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722"/>
    <pageSetUpPr fitToPage="false"/>
  </sheetPr>
  <dimension ref="A1:E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42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2</v>
      </c>
      <c r="B3" s="4"/>
      <c r="C3" s="3" t="s">
        <v>3</v>
      </c>
      <c r="D3" s="4"/>
      <c r="E3" s="3" t="s">
        <v>4</v>
      </c>
    </row>
    <row r="4" customFormat="false" ht="19.5" hidden="false" customHeight="true" outlineLevel="0" collapsed="false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customFormat="false" ht="21.75" hidden="false" customHeight="true" outlineLevel="0" collapsed="false">
      <c r="A5" s="6" t="s">
        <v>10</v>
      </c>
      <c r="B5" s="6"/>
      <c r="C5" s="6"/>
      <c r="D5" s="6"/>
      <c r="E5" s="6"/>
    </row>
    <row r="6" customFormat="false" ht="27.75" hidden="false" customHeight="true" outlineLevel="0" collapsed="false">
      <c r="A6" s="7" t="s">
        <v>11</v>
      </c>
      <c r="B6" s="7"/>
      <c r="C6" s="7"/>
      <c r="D6" s="7"/>
      <c r="E6" s="7"/>
    </row>
    <row r="7" customFormat="false" ht="21.75" hidden="false" customHeight="true" outlineLevel="0" collapsed="false">
      <c r="A7" s="8" t="s">
        <v>12</v>
      </c>
    </row>
    <row r="8" customFormat="false" ht="15" hidden="false" customHeight="false" outlineLevel="0" collapsed="false">
      <c r="B8" s="8" t="s">
        <v>13</v>
      </c>
    </row>
    <row r="9" customFormat="false" ht="15" hidden="false" customHeight="false" outlineLevel="0" collapsed="false">
      <c r="C9" s="8" t="s">
        <v>14</v>
      </c>
    </row>
    <row r="10" customFormat="false" ht="15" hidden="false" customHeight="false" outlineLevel="0" collapsed="false">
      <c r="D10" s="8" t="s">
        <v>15</v>
      </c>
    </row>
    <row r="11" customFormat="false" ht="15" hidden="false" customHeight="false" outlineLevel="0" collapsed="false">
      <c r="E11" s="8" t="s">
        <v>16</v>
      </c>
    </row>
    <row r="12" customFormat="false" ht="21.75" hidden="false" customHeight="true" outlineLevel="0" collapsed="false">
      <c r="A12" s="9"/>
      <c r="B12" s="9"/>
      <c r="C12" s="9"/>
      <c r="D12" s="9"/>
      <c r="E12" s="9"/>
    </row>
    <row r="13" customFormat="false" ht="21.75" hidden="false" customHeight="true" outlineLevel="0" collapsed="false">
      <c r="A13" s="10"/>
      <c r="B13" s="10"/>
      <c r="C13" s="10"/>
      <c r="D13" s="10"/>
      <c r="E13" s="10"/>
    </row>
    <row r="14" customFormat="false" ht="21.75" hidden="false" customHeight="true" outlineLevel="0" collapsed="false">
      <c r="A14" s="9"/>
      <c r="B14" s="9"/>
      <c r="C14" s="9"/>
      <c r="D14" s="9"/>
      <c r="E14" s="9"/>
    </row>
    <row r="15" customFormat="false" ht="21.75" hidden="false" customHeight="true" outlineLevel="0" collapsed="false">
      <c r="A15" s="10"/>
      <c r="B15" s="10"/>
      <c r="C15" s="10"/>
      <c r="D15" s="10"/>
      <c r="E15" s="10"/>
    </row>
    <row r="16" customFormat="false" ht="21.75" hidden="false" customHeight="true" outlineLevel="0" collapsed="false">
      <c r="A16" s="9"/>
      <c r="B16" s="9"/>
      <c r="C16" s="9"/>
      <c r="D16" s="9"/>
      <c r="E16" s="9"/>
    </row>
    <row r="17" customFormat="false" ht="21.75" hidden="false" customHeight="true" outlineLevel="0" collapsed="false">
      <c r="A17" s="10"/>
      <c r="B17" s="10"/>
      <c r="C17" s="10"/>
      <c r="D17" s="10"/>
      <c r="E17" s="10"/>
    </row>
    <row r="18" customFormat="false" ht="21.75" hidden="false" customHeight="true" outlineLevel="0" collapsed="false">
      <c r="A18" s="9"/>
      <c r="B18" s="9"/>
      <c r="C18" s="9"/>
      <c r="D18" s="9"/>
      <c r="E18" s="9"/>
    </row>
    <row r="19" customFormat="false" ht="21.75" hidden="false" customHeight="true" outlineLevel="0" collapsed="false">
      <c r="A19" s="10"/>
      <c r="B19" s="10"/>
      <c r="C19" s="10"/>
      <c r="D19" s="10"/>
      <c r="E19" s="10"/>
    </row>
    <row r="20" customFormat="false" ht="21.75" hidden="false" customHeight="true" outlineLevel="0" collapsed="false">
      <c r="A20" s="9"/>
      <c r="B20" s="9"/>
      <c r="C20" s="9"/>
      <c r="D20" s="9"/>
      <c r="E20" s="9"/>
    </row>
    <row r="21" customFormat="false" ht="21.75" hidden="false" customHeight="true" outlineLevel="0" collapsed="false">
      <c r="A21" s="10"/>
      <c r="B21" s="10"/>
      <c r="C21" s="10"/>
      <c r="D21" s="10"/>
      <c r="E21" s="10"/>
    </row>
    <row r="22" customFormat="false" ht="21.75" hidden="false" customHeight="true" outlineLevel="0" collapsed="false">
      <c r="A22" s="11" t="s">
        <v>17</v>
      </c>
      <c r="B22" s="10"/>
      <c r="C22" s="10"/>
      <c r="D22" s="10"/>
      <c r="E22" s="10"/>
    </row>
    <row r="23" customFormat="false" ht="30" hidden="false" customHeight="true" outlineLevel="0" collapsed="false">
      <c r="A23" s="12" t="s">
        <v>18</v>
      </c>
      <c r="B23" s="13" t="s">
        <v>19</v>
      </c>
      <c r="C23" s="9"/>
      <c r="D23" s="14" t="s">
        <v>20</v>
      </c>
      <c r="E23" s="15" t="s">
        <v>21</v>
      </c>
    </row>
    <row r="24" customFormat="false" ht="30" hidden="false" customHeight="true" outlineLevel="0" collapsed="false">
      <c r="A24" s="12" t="s">
        <v>22</v>
      </c>
      <c r="B24" s="13" t="s">
        <v>23</v>
      </c>
      <c r="C24" s="9"/>
      <c r="D24" s="14" t="s">
        <v>24</v>
      </c>
      <c r="E24" s="15" t="s">
        <v>25</v>
      </c>
    </row>
    <row r="25" customFormat="false" ht="30" hidden="false" customHeight="true" outlineLevel="0" collapsed="false">
      <c r="A25" s="12" t="s">
        <v>26</v>
      </c>
      <c r="B25" s="13" t="s">
        <v>27</v>
      </c>
      <c r="C25" s="9"/>
      <c r="D25" s="14" t="s">
        <v>28</v>
      </c>
      <c r="E25" s="15" t="s">
        <v>29</v>
      </c>
    </row>
    <row r="26" customFormat="false" ht="30" hidden="false" customHeight="true" outlineLevel="0" collapsed="false">
      <c r="A26" s="12" t="s">
        <v>30</v>
      </c>
      <c r="B26" s="13" t="s">
        <v>31</v>
      </c>
      <c r="C26" s="9"/>
      <c r="D26" s="14"/>
      <c r="E26" s="15" t="s">
        <v>32</v>
      </c>
    </row>
    <row r="27" customFormat="false" ht="30" hidden="false" customHeight="true" outlineLevel="0" collapsed="false">
      <c r="A27" s="12" t="s">
        <v>33</v>
      </c>
      <c r="B27" s="13" t="s">
        <v>34</v>
      </c>
      <c r="C27" s="9"/>
      <c r="D27" s="14" t="s">
        <v>35</v>
      </c>
      <c r="E27" s="15" t="s">
        <v>36</v>
      </c>
    </row>
    <row r="28" customFormat="false" ht="39.75" hidden="false" customHeight="true" outlineLevel="0" collapsed="false">
      <c r="A28" s="12" t="s">
        <v>37</v>
      </c>
      <c r="B28" s="13" t="s">
        <v>38</v>
      </c>
      <c r="C28" s="9"/>
      <c r="D28" s="14"/>
      <c r="E28" s="15" t="s">
        <v>39</v>
      </c>
    </row>
    <row r="29" customFormat="false" ht="21.75" hidden="false" customHeight="true" outlineLevel="0" collapsed="false">
      <c r="A29" s="16" t="s">
        <v>40</v>
      </c>
      <c r="B29" s="16"/>
      <c r="C29" s="16"/>
      <c r="D29" s="16"/>
      <c r="E29" s="16"/>
    </row>
    <row r="30" customFormat="false" ht="39.75" hidden="false" customHeight="true" outlineLevel="0" collapsed="false">
      <c r="A30" s="12" t="s">
        <v>41</v>
      </c>
      <c r="B30" s="13" t="s">
        <v>42</v>
      </c>
      <c r="C30" s="9"/>
      <c r="D30" s="14"/>
      <c r="E30" s="15" t="s">
        <v>43</v>
      </c>
    </row>
    <row r="31" customFormat="false" ht="30" hidden="false" customHeight="true" outlineLevel="0" collapsed="false">
      <c r="A31" s="12" t="s">
        <v>44</v>
      </c>
      <c r="B31" s="13" t="s">
        <v>45</v>
      </c>
      <c r="C31" s="9"/>
      <c r="D31" s="14" t="s">
        <v>46</v>
      </c>
      <c r="E31" s="15" t="s">
        <v>47</v>
      </c>
    </row>
    <row r="32" customFormat="false" ht="30" hidden="false" customHeight="true" outlineLevel="0" collapsed="false">
      <c r="A32" s="12" t="s">
        <v>48</v>
      </c>
      <c r="B32" s="13" t="s">
        <v>49</v>
      </c>
      <c r="C32" s="9"/>
      <c r="D32" s="14" t="s">
        <v>46</v>
      </c>
      <c r="E32" s="15" t="s">
        <v>50</v>
      </c>
    </row>
    <row r="33" customFormat="false" ht="30" hidden="false" customHeight="true" outlineLevel="0" collapsed="false">
      <c r="A33" s="12" t="s">
        <v>51</v>
      </c>
      <c r="B33" s="13" t="s">
        <v>52</v>
      </c>
      <c r="C33" s="9"/>
      <c r="D33" s="14"/>
      <c r="E33" s="15" t="s">
        <v>53</v>
      </c>
    </row>
    <row r="34" customFormat="false" ht="30" hidden="false" customHeight="true" outlineLevel="0" collapsed="false">
      <c r="A34" s="12" t="s">
        <v>54</v>
      </c>
      <c r="B34" s="13" t="s">
        <v>55</v>
      </c>
      <c r="C34" s="9"/>
      <c r="D34" s="14"/>
      <c r="E34" s="15" t="s">
        <v>56</v>
      </c>
    </row>
    <row r="35" customFormat="false" ht="21.75" hidden="false" customHeight="true" outlineLevel="0" collapsed="false">
      <c r="A35" s="17" t="s">
        <v>57</v>
      </c>
      <c r="B35" s="17"/>
      <c r="C35" s="17"/>
      <c r="D35" s="17"/>
      <c r="E35" s="17"/>
    </row>
    <row r="36" customFormat="false" ht="30" hidden="false" customHeight="true" outlineLevel="0" collapsed="false">
      <c r="A36" s="12" t="s">
        <v>58</v>
      </c>
      <c r="B36" s="13" t="s">
        <v>59</v>
      </c>
      <c r="C36" s="9"/>
      <c r="D36" s="14" t="s">
        <v>60</v>
      </c>
      <c r="E36" s="15" t="s">
        <v>61</v>
      </c>
    </row>
    <row r="37" customFormat="false" ht="30" hidden="false" customHeight="true" outlineLevel="0" collapsed="false">
      <c r="A37" s="12" t="s">
        <v>62</v>
      </c>
      <c r="B37" s="13" t="s">
        <v>63</v>
      </c>
      <c r="C37" s="9"/>
      <c r="D37" s="14" t="s">
        <v>64</v>
      </c>
      <c r="E37" s="15" t="s">
        <v>65</v>
      </c>
    </row>
    <row r="38" customFormat="false" ht="30" hidden="false" customHeight="true" outlineLevel="0" collapsed="false">
      <c r="A38" s="12" t="s">
        <v>66</v>
      </c>
      <c r="B38" s="13" t="s">
        <v>67</v>
      </c>
      <c r="C38" s="9"/>
      <c r="D38" s="14" t="s">
        <v>46</v>
      </c>
      <c r="E38" s="15" t="s">
        <v>68</v>
      </c>
    </row>
    <row r="39" customFormat="false" ht="30" hidden="false" customHeight="true" outlineLevel="0" collapsed="false">
      <c r="A39" s="12" t="s">
        <v>69</v>
      </c>
      <c r="B39" s="13" t="s">
        <v>70</v>
      </c>
      <c r="C39" s="9"/>
      <c r="D39" s="14" t="s">
        <v>71</v>
      </c>
      <c r="E39" s="15" t="s">
        <v>72</v>
      </c>
    </row>
    <row r="40" customFormat="false" ht="21.75" hidden="false" customHeight="true" outlineLevel="0" collapsed="false">
      <c r="A40" s="18" t="s">
        <v>73</v>
      </c>
      <c r="B40" s="18"/>
      <c r="C40" s="18"/>
      <c r="D40" s="18"/>
      <c r="E40" s="18"/>
    </row>
    <row r="41" customFormat="false" ht="39.75" hidden="false" customHeight="true" outlineLevel="0" collapsed="false">
      <c r="A41" s="12" t="s">
        <v>74</v>
      </c>
      <c r="B41" s="13" t="s">
        <v>75</v>
      </c>
      <c r="C41" s="9"/>
      <c r="D41" s="14"/>
      <c r="E41" s="15" t="s">
        <v>76</v>
      </c>
    </row>
    <row r="42" customFormat="false" ht="30" hidden="false" customHeight="true" outlineLevel="0" collapsed="false">
      <c r="A42" s="12" t="s">
        <v>77</v>
      </c>
      <c r="B42" s="13" t="s">
        <v>78</v>
      </c>
      <c r="C42" s="9"/>
      <c r="D42" s="14" t="s">
        <v>20</v>
      </c>
      <c r="E42" s="15" t="s">
        <v>79</v>
      </c>
    </row>
    <row r="43" customFormat="false" ht="39.75" hidden="false" customHeight="true" outlineLevel="0" collapsed="false">
      <c r="A43" s="12" t="s">
        <v>80</v>
      </c>
      <c r="B43" s="13" t="s">
        <v>81</v>
      </c>
      <c r="C43" s="9"/>
      <c r="D43" s="14" t="s">
        <v>82</v>
      </c>
      <c r="E43" s="15" t="s">
        <v>83</v>
      </c>
    </row>
    <row r="44" customFormat="false" ht="30" hidden="false" customHeight="true" outlineLevel="0" collapsed="false">
      <c r="A44" s="12" t="s">
        <v>84</v>
      </c>
      <c r="B44" s="13" t="s">
        <v>85</v>
      </c>
      <c r="C44" s="9"/>
      <c r="D44" s="14"/>
      <c r="E44" s="15" t="s">
        <v>86</v>
      </c>
    </row>
    <row r="45" customFormat="false" ht="21.75" hidden="false" customHeight="true" outlineLevel="0" collapsed="false">
      <c r="A45" s="19" t="s">
        <v>87</v>
      </c>
      <c r="B45" s="19"/>
      <c r="C45" s="19"/>
      <c r="D45" s="19"/>
      <c r="E45" s="19"/>
    </row>
    <row r="46" customFormat="false" ht="72" hidden="false" customHeight="true" outlineLevel="0" collapsed="false">
      <c r="A46" s="20" t="s">
        <v>88</v>
      </c>
      <c r="B46" s="20"/>
      <c r="C46" s="20"/>
      <c r="D46" s="20"/>
      <c r="E46" s="20"/>
    </row>
    <row r="47" customFormat="false" ht="51.75" hidden="false" customHeight="true" outlineLevel="0" collapsed="false">
      <c r="A47" s="12" t="s">
        <v>89</v>
      </c>
      <c r="B47" s="13" t="s">
        <v>90</v>
      </c>
      <c r="C47" s="21"/>
      <c r="D47" s="14" t="s">
        <v>20</v>
      </c>
      <c r="E47" s="15" t="s">
        <v>91</v>
      </c>
    </row>
    <row r="48" customFormat="false" ht="31.5" hidden="false" customHeight="true" outlineLevel="0" collapsed="false">
      <c r="A48" s="12" t="s">
        <v>92</v>
      </c>
      <c r="B48" s="13" t="s">
        <v>93</v>
      </c>
      <c r="C48" s="21"/>
      <c r="D48" s="14" t="s">
        <v>20</v>
      </c>
      <c r="E48" s="15" t="s">
        <v>94</v>
      </c>
    </row>
    <row r="49" customFormat="false" ht="51.75" hidden="false" customHeight="true" outlineLevel="0" collapsed="false">
      <c r="A49" s="12" t="s">
        <v>95</v>
      </c>
      <c r="B49" s="13" t="s">
        <v>96</v>
      </c>
      <c r="C49" s="9"/>
      <c r="D49" s="14"/>
      <c r="E49" s="15" t="s">
        <v>97</v>
      </c>
    </row>
    <row r="50" customFormat="false" ht="51.75" hidden="false" customHeight="true" outlineLevel="0" collapsed="false">
      <c r="A50" s="12" t="s">
        <v>98</v>
      </c>
      <c r="B50" s="13" t="s">
        <v>99</v>
      </c>
      <c r="C50" s="9"/>
      <c r="D50" s="14"/>
      <c r="E50" s="15" t="s">
        <v>100</v>
      </c>
    </row>
    <row r="51" customFormat="false" ht="51.75" hidden="false" customHeight="true" outlineLevel="0" collapsed="false">
      <c r="A51" s="12" t="s">
        <v>101</v>
      </c>
      <c r="B51" s="13" t="s">
        <v>102</v>
      </c>
      <c r="C51" s="21"/>
      <c r="D51" s="14"/>
      <c r="E51" s="15" t="s">
        <v>103</v>
      </c>
    </row>
    <row r="52" customFormat="false" ht="51.75" hidden="false" customHeight="true" outlineLevel="0" collapsed="false">
      <c r="A52" s="12" t="s">
        <v>104</v>
      </c>
      <c r="B52" s="13" t="s">
        <v>105</v>
      </c>
      <c r="C52" s="21"/>
      <c r="D52" s="14"/>
      <c r="E52" s="15" t="s">
        <v>106</v>
      </c>
    </row>
    <row r="53" customFormat="false" ht="13.5" hidden="false" customHeight="true" outlineLevel="0" collapsed="false">
      <c r="A53" s="22" t="s">
        <v>107</v>
      </c>
      <c r="B53" s="22"/>
      <c r="C53" s="22"/>
      <c r="D53" s="22"/>
      <c r="E53" s="22"/>
    </row>
  </sheetData>
  <mergeCells count="10">
    <mergeCell ref="A1:E1"/>
    <mergeCell ref="A2:E2"/>
    <mergeCell ref="A5:E5"/>
    <mergeCell ref="A6:E6"/>
    <mergeCell ref="A29:E29"/>
    <mergeCell ref="A35:E35"/>
    <mergeCell ref="A40:E40"/>
    <mergeCell ref="A45:E45"/>
    <mergeCell ref="A46:E46"/>
    <mergeCell ref="A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42" hidden="false" customHeight="true" outlineLevel="0" collapsed="false">
      <c r="A1" s="1" t="s">
        <v>108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109</v>
      </c>
      <c r="B2" s="2"/>
      <c r="C2" s="2"/>
      <c r="D2" s="2"/>
      <c r="E2" s="2"/>
    </row>
    <row r="3" customFormat="false" ht="19.5" hidden="false" customHeight="true" outlineLevel="0" collapsed="false">
      <c r="A3" s="5" t="s">
        <v>110</v>
      </c>
      <c r="B3" s="5" t="s">
        <v>111</v>
      </c>
      <c r="C3" s="5" t="s">
        <v>8</v>
      </c>
      <c r="D3" s="5" t="s">
        <v>112</v>
      </c>
      <c r="E3" s="5" t="s">
        <v>113</v>
      </c>
    </row>
    <row r="4" customFormat="false" ht="21.75" hidden="false" customHeight="true" outlineLevel="0" collapsed="false">
      <c r="A4" s="23" t="s">
        <v>114</v>
      </c>
      <c r="B4" s="23"/>
      <c r="C4" s="23"/>
      <c r="D4" s="23"/>
      <c r="E4" s="23"/>
    </row>
    <row r="5" customFormat="false" ht="21.75" hidden="false" customHeight="true" outlineLevel="0" collapsed="false">
      <c r="A5" s="24" t="s">
        <v>115</v>
      </c>
    </row>
    <row r="6" customFormat="false" ht="15" hidden="false" customHeight="false" outlineLevel="0" collapsed="false">
      <c r="B6" s="24" t="s">
        <v>14</v>
      </c>
    </row>
    <row r="7" customFormat="false" ht="22.35" hidden="false" customHeight="false" outlineLevel="0" collapsed="false">
      <c r="C7" s="24" t="s">
        <v>15</v>
      </c>
    </row>
    <row r="8" customFormat="false" ht="15" hidden="false" customHeight="false" outlineLevel="0" collapsed="false">
      <c r="D8" s="24" t="s">
        <v>16</v>
      </c>
    </row>
    <row r="9" customFormat="false" ht="15" hidden="false" customHeight="false" outlineLevel="0" collapsed="false">
      <c r="E9" s="24" t="s">
        <v>116</v>
      </c>
    </row>
    <row r="10" customFormat="false" ht="21.75" hidden="false" customHeight="true" outlineLevel="0" collapsed="false">
      <c r="A10" s="25"/>
      <c r="B10" s="25"/>
      <c r="C10" s="25"/>
      <c r="D10" s="25"/>
      <c r="E10" s="25"/>
    </row>
    <row r="11" customFormat="false" ht="21.75" hidden="false" customHeight="true" outlineLevel="0" collapsed="false">
      <c r="A11" s="10"/>
      <c r="B11" s="10"/>
      <c r="C11" s="10"/>
      <c r="D11" s="10"/>
      <c r="E11" s="10"/>
    </row>
    <row r="12" customFormat="false" ht="21.75" hidden="false" customHeight="true" outlineLevel="0" collapsed="false">
      <c r="A12" s="25"/>
      <c r="B12" s="25"/>
      <c r="C12" s="25"/>
      <c r="D12" s="25"/>
      <c r="E12" s="25"/>
    </row>
    <row r="13" customFormat="false" ht="21.75" hidden="false" customHeight="true" outlineLevel="0" collapsed="false">
      <c r="A13" s="10"/>
      <c r="B13" s="10"/>
      <c r="C13" s="10"/>
      <c r="D13" s="10"/>
      <c r="E13" s="10"/>
    </row>
    <row r="14" customFormat="false" ht="21.75" hidden="false" customHeight="true" outlineLevel="0" collapsed="false">
      <c r="A14" s="25"/>
      <c r="B14" s="25"/>
      <c r="C14" s="25"/>
      <c r="D14" s="25"/>
      <c r="E14" s="25"/>
    </row>
    <row r="15" customFormat="false" ht="21.75" hidden="false" customHeight="true" outlineLevel="0" collapsed="false">
      <c r="A15" s="10"/>
      <c r="B15" s="10"/>
      <c r="C15" s="10"/>
      <c r="D15" s="10"/>
      <c r="E15" s="10"/>
    </row>
    <row r="16" customFormat="false" ht="21.75" hidden="false" customHeight="true" outlineLevel="0" collapsed="false">
      <c r="A16" s="25"/>
      <c r="B16" s="25"/>
      <c r="C16" s="25"/>
      <c r="D16" s="25"/>
      <c r="E16" s="25"/>
    </row>
    <row r="17" customFormat="false" ht="21.75" hidden="false" customHeight="true" outlineLevel="0" collapsed="false">
      <c r="A17" s="10"/>
      <c r="B17" s="10"/>
      <c r="C17" s="10"/>
      <c r="D17" s="10"/>
      <c r="E17" s="10"/>
    </row>
    <row r="18" customFormat="false" ht="21.75" hidden="false" customHeight="true" outlineLevel="0" collapsed="false">
      <c r="A18" s="25"/>
      <c r="B18" s="25"/>
      <c r="C18" s="25"/>
      <c r="D18" s="25"/>
      <c r="E18" s="25"/>
    </row>
    <row r="19" customFormat="false" ht="21.75" hidden="false" customHeight="true" outlineLevel="0" collapsed="false">
      <c r="A19" s="10"/>
      <c r="B19" s="10"/>
      <c r="C19" s="10"/>
      <c r="D19" s="10"/>
      <c r="E19" s="10"/>
    </row>
    <row r="20" customFormat="false" ht="21.75" hidden="false" customHeight="true" outlineLevel="0" collapsed="false">
      <c r="A20" s="11" t="s">
        <v>17</v>
      </c>
      <c r="B20" s="26" t="n">
        <f aca="false">SUM(B10:B19)</f>
        <v>0</v>
      </c>
      <c r="C20" s="26" t="n">
        <f aca="false">SUM(C10:C19)</f>
        <v>0</v>
      </c>
      <c r="D20" s="26" t="str">
        <f aca="false">IFERROR(AVERAGE(D10:D19),"")</f>
        <v/>
      </c>
      <c r="E20" s="10"/>
    </row>
    <row r="21" customFormat="false" ht="21.75" hidden="false" customHeight="true" outlineLevel="0" collapsed="false">
      <c r="A21" s="6" t="s">
        <v>117</v>
      </c>
      <c r="B21" s="6"/>
      <c r="C21" s="6"/>
      <c r="D21" s="6"/>
      <c r="E21" s="6"/>
    </row>
    <row r="22" customFormat="false" ht="27.75" hidden="false" customHeight="true" outlineLevel="0" collapsed="false">
      <c r="A22" s="13" t="s">
        <v>118</v>
      </c>
      <c r="B22" s="25"/>
      <c r="C22" s="14" t="s">
        <v>60</v>
      </c>
      <c r="D22" s="27" t="s">
        <v>119</v>
      </c>
      <c r="E22" s="15"/>
    </row>
    <row r="23" customFormat="false" ht="27.75" hidden="false" customHeight="true" outlineLevel="0" collapsed="false">
      <c r="A23" s="13" t="s">
        <v>120</v>
      </c>
      <c r="B23" s="25"/>
      <c r="C23" s="14" t="s">
        <v>28</v>
      </c>
      <c r="D23" s="27" t="s">
        <v>121</v>
      </c>
      <c r="E23" s="15"/>
    </row>
    <row r="24" customFormat="false" ht="27.75" hidden="false" customHeight="true" outlineLevel="0" collapsed="false">
      <c r="A24" s="13" t="s">
        <v>122</v>
      </c>
      <c r="B24" s="25"/>
      <c r="C24" s="14" t="s">
        <v>24</v>
      </c>
      <c r="D24" s="27" t="s">
        <v>123</v>
      </c>
      <c r="E24" s="15"/>
    </row>
    <row r="25" customFormat="false" ht="27.75" hidden="false" customHeight="true" outlineLevel="0" collapsed="false">
      <c r="A25" s="13" t="s">
        <v>124</v>
      </c>
      <c r="B25" s="25"/>
      <c r="C25" s="14" t="s">
        <v>125</v>
      </c>
      <c r="D25" s="27" t="s">
        <v>126</v>
      </c>
      <c r="E25" s="15"/>
    </row>
    <row r="26" customFormat="false" ht="27.75" hidden="false" customHeight="true" outlineLevel="0" collapsed="false">
      <c r="A26" s="13" t="s">
        <v>127</v>
      </c>
      <c r="B26" s="25"/>
      <c r="C26" s="14" t="s">
        <v>71</v>
      </c>
      <c r="D26" s="27" t="s">
        <v>128</v>
      </c>
      <c r="E26" s="15"/>
    </row>
    <row r="27" customFormat="false" ht="27.75" hidden="false" customHeight="true" outlineLevel="0" collapsed="false">
      <c r="A27" s="13" t="s">
        <v>129</v>
      </c>
      <c r="B27" s="28" t="str">
        <f aca="false">IF(AND(B22&lt;&gt;"",B23&lt;&gt;"",B23&gt;0),B22/B23,"")</f>
        <v/>
      </c>
      <c r="C27" s="14" t="s">
        <v>130</v>
      </c>
      <c r="D27" s="27" t="s">
        <v>131</v>
      </c>
      <c r="E27" s="15" t="s">
        <v>132</v>
      </c>
    </row>
    <row r="28" customFormat="false" ht="27.75" hidden="false" customHeight="true" outlineLevel="0" collapsed="false">
      <c r="A28" s="13" t="s">
        <v>133</v>
      </c>
      <c r="B28" s="28" t="str">
        <f aca="false">IF(AND(B24&lt;&gt;"",B23&lt;&gt;"",B23&gt;0),B24*1000/B23,"")</f>
        <v/>
      </c>
      <c r="C28" s="14" t="s">
        <v>134</v>
      </c>
      <c r="D28" s="27" t="s">
        <v>135</v>
      </c>
      <c r="E28" s="15" t="s">
        <v>136</v>
      </c>
    </row>
    <row r="29" customFormat="false" ht="27.75" hidden="false" customHeight="true" outlineLevel="0" collapsed="false">
      <c r="A29" s="13" t="s">
        <v>137</v>
      </c>
      <c r="B29" s="28" t="str">
        <f aca="false">IF(AND(B22&lt;&gt;"",B25&lt;&gt;""),B22*B25,"")</f>
        <v/>
      </c>
      <c r="C29" s="14" t="s">
        <v>64</v>
      </c>
      <c r="D29" s="27" t="s">
        <v>131</v>
      </c>
      <c r="E29" s="15"/>
    </row>
    <row r="30" customFormat="false" ht="27.75" hidden="false" customHeight="true" outlineLevel="0" collapsed="false">
      <c r="A30" s="13" t="s">
        <v>138</v>
      </c>
      <c r="B30" s="28" t="str">
        <f aca="false">IF(AND(B22&lt;&gt;"",B21&lt;&gt;"",B21&gt;0),ABS((B22-B21*1000)/B22)*100,"")</f>
        <v/>
      </c>
      <c r="C30" s="14" t="s">
        <v>46</v>
      </c>
      <c r="D30" s="27" t="s">
        <v>139</v>
      </c>
      <c r="E30" s="15"/>
    </row>
    <row r="31" customFormat="false" ht="27.75" hidden="false" customHeight="true" outlineLevel="0" collapsed="false">
      <c r="A31" s="13" t="s">
        <v>140</v>
      </c>
      <c r="B31" s="28" t="str">
        <f aca="false">IF(B30="","Brak danych",IF(B30&lt;=10,"✅ ZATWIERDZONY",IF(B30&lt;=20,"⚠️ WARUNKOWO","❌ ODRZUCONY")))</f>
        <v>Brak danych</v>
      </c>
      <c r="C31" s="14"/>
      <c r="D31" s="27" t="s">
        <v>131</v>
      </c>
      <c r="E31" s="15"/>
    </row>
    <row r="32" customFormat="false" ht="27.75" hidden="false" customHeight="true" outlineLevel="0" collapsed="false">
      <c r="A32" s="13" t="s">
        <v>141</v>
      </c>
      <c r="B32" s="25"/>
      <c r="C32" s="14" t="s">
        <v>60</v>
      </c>
      <c r="D32" s="27" t="s">
        <v>142</v>
      </c>
      <c r="E32" s="15" t="s">
        <v>143</v>
      </c>
    </row>
    <row r="33" customFormat="false" ht="27.75" hidden="false" customHeight="true" outlineLevel="0" collapsed="false">
      <c r="A33" s="13" t="s">
        <v>144</v>
      </c>
      <c r="B33" s="28" t="str">
        <f aca="false">IF(AND(B32&lt;&gt;"",B25&lt;&gt;""),B32*B25,"")</f>
        <v/>
      </c>
      <c r="C33" s="14" t="s">
        <v>64</v>
      </c>
      <c r="D33" s="27" t="s">
        <v>131</v>
      </c>
      <c r="E33" s="15"/>
    </row>
    <row r="34" customFormat="false" ht="27.75" hidden="false" customHeight="true" outlineLevel="0" collapsed="false">
      <c r="A34" s="13" t="s">
        <v>145</v>
      </c>
      <c r="B34" s="28" t="str">
        <f aca="false">IF(B22&lt;&gt;"",B22*0.25,"")</f>
        <v/>
      </c>
      <c r="C34" s="14" t="s">
        <v>60</v>
      </c>
      <c r="D34" s="27" t="s">
        <v>146</v>
      </c>
      <c r="E34" s="15" t="s">
        <v>147</v>
      </c>
    </row>
    <row r="35" customFormat="false" ht="27.75" hidden="false" customHeight="true" outlineLevel="0" collapsed="false">
      <c r="A35" s="13" t="s">
        <v>148</v>
      </c>
      <c r="B35" s="28" t="str">
        <f aca="false">IF(AND(B32&lt;&gt;"",B34&lt;&gt;""),B32+B34,"")</f>
        <v/>
      </c>
      <c r="C35" s="14" t="s">
        <v>60</v>
      </c>
      <c r="D35" s="27" t="s">
        <v>131</v>
      </c>
      <c r="E35" s="15" t="s">
        <v>149</v>
      </c>
    </row>
    <row r="36" customFormat="false" ht="21.75" hidden="false" customHeight="true" outlineLevel="0" collapsed="false">
      <c r="A36" s="19" t="s">
        <v>150</v>
      </c>
      <c r="B36" s="19"/>
      <c r="C36" s="19"/>
      <c r="D36" s="19"/>
      <c r="E36" s="19"/>
    </row>
    <row r="37" customFormat="false" ht="63.75" hidden="false" customHeight="true" outlineLevel="0" collapsed="false">
      <c r="A37" s="20" t="s">
        <v>88</v>
      </c>
      <c r="B37" s="20"/>
      <c r="C37" s="20"/>
      <c r="D37" s="20"/>
      <c r="E37" s="20"/>
    </row>
    <row r="38" customFormat="false" ht="27.75" hidden="false" customHeight="true" outlineLevel="0" collapsed="false">
      <c r="A38" s="13" t="s">
        <v>151</v>
      </c>
      <c r="B38" s="25"/>
      <c r="C38" s="14" t="s">
        <v>20</v>
      </c>
      <c r="D38" s="27" t="s">
        <v>152</v>
      </c>
      <c r="E38" s="15" t="s">
        <v>153</v>
      </c>
    </row>
    <row r="39" customFormat="false" ht="27.75" hidden="false" customHeight="true" outlineLevel="0" collapsed="false">
      <c r="A39" s="13" t="s">
        <v>154</v>
      </c>
      <c r="B39" s="25"/>
      <c r="C39" s="14" t="s">
        <v>20</v>
      </c>
      <c r="D39" s="27" t="s">
        <v>155</v>
      </c>
      <c r="E39" s="15" t="s">
        <v>156</v>
      </c>
    </row>
    <row r="40" customFormat="false" ht="27.75" hidden="false" customHeight="true" outlineLevel="0" collapsed="false">
      <c r="A40" s="13" t="s">
        <v>157</v>
      </c>
      <c r="B40" s="25"/>
      <c r="C40" s="14"/>
      <c r="D40" s="27" t="s">
        <v>158</v>
      </c>
      <c r="E40" s="15" t="s">
        <v>159</v>
      </c>
    </row>
    <row r="41" customFormat="false" ht="27.75" hidden="false" customHeight="true" outlineLevel="0" collapsed="false">
      <c r="A41" s="13" t="s">
        <v>160</v>
      </c>
      <c r="B41" s="28" t="str">
        <f aca="false">IF(B38&lt;&gt;"",IF(B38&gt;0,"❌ NIEZGODNOŚĆ — "
&amp;B38&amp;" szt. T8/T5 do wymiany (Rozp.UE 2019/2020 od IX.2023)",IF(B39&lt;&gt;"",IF(B39&gt;0,"❌ NIEZGODNOŚĆ — "
&amp;B39&amp;" szt. halogenów (wycofane od 2018)","✅ ZGODNY — brak zakazanych technologii"),"")),"Brak danych — wypełnij tabele stref")</f>
        <v>Brak danych — wypełnij tabele stref</v>
      </c>
      <c r="C41" s="14"/>
      <c r="D41" s="27" t="s">
        <v>161</v>
      </c>
      <c r="E41" s="15"/>
    </row>
    <row r="42" customFormat="false" ht="27.75" hidden="false" customHeight="true" outlineLevel="0" collapsed="false">
      <c r="A42" s="13" t="s">
        <v>162</v>
      </c>
      <c r="B42" s="25"/>
      <c r="C42" s="14"/>
      <c r="D42" s="27" t="s">
        <v>163</v>
      </c>
      <c r="E42" s="15" t="s">
        <v>164</v>
      </c>
    </row>
    <row r="43" customFormat="false" ht="27.75" hidden="false" customHeight="true" outlineLevel="0" collapsed="false">
      <c r="A43" s="13" t="s">
        <v>165</v>
      </c>
      <c r="B43" s="25"/>
      <c r="C43" s="14"/>
      <c r="D43" s="27" t="s">
        <v>166</v>
      </c>
      <c r="E43" s="15" t="s">
        <v>167</v>
      </c>
    </row>
    <row r="44" customFormat="false" ht="13.5" hidden="false" customHeight="true" outlineLevel="0" collapsed="false">
      <c r="A44" s="22" t="s">
        <v>168</v>
      </c>
      <c r="B44" s="22"/>
      <c r="C44" s="22"/>
      <c r="D44" s="22"/>
      <c r="E44" s="22"/>
    </row>
  </sheetData>
  <mergeCells count="7">
    <mergeCell ref="A1:E1"/>
    <mergeCell ref="A2:E2"/>
    <mergeCell ref="A4:E4"/>
    <mergeCell ref="A21:E21"/>
    <mergeCell ref="A36:E36"/>
    <mergeCell ref="A37:E37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22"/>
  </cols>
  <sheetData>
    <row r="1" customFormat="false" ht="42" hidden="false" customHeight="true" outlineLevel="0" collapsed="false">
      <c r="A1" s="1" t="s">
        <v>169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170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171</v>
      </c>
      <c r="B3" s="4"/>
      <c r="C3" s="3" t="s">
        <v>172</v>
      </c>
      <c r="D3" s="4"/>
      <c r="E3" s="3" t="s">
        <v>173</v>
      </c>
    </row>
    <row r="4" customFormat="false" ht="21.75" hidden="false" customHeight="true" outlineLevel="0" collapsed="false">
      <c r="A4" s="6" t="s">
        <v>174</v>
      </c>
      <c r="B4" s="6"/>
      <c r="C4" s="6"/>
      <c r="D4" s="6"/>
      <c r="E4" s="6"/>
    </row>
    <row r="5" customFormat="false" ht="24" hidden="false" customHeight="true" outlineLevel="0" collapsed="false">
      <c r="A5" s="29" t="s">
        <v>175</v>
      </c>
      <c r="B5" s="30" t="s">
        <v>176</v>
      </c>
      <c r="C5" s="31"/>
      <c r="D5" s="32"/>
      <c r="E5" s="33"/>
    </row>
    <row r="6" customFormat="false" ht="24" hidden="false" customHeight="true" outlineLevel="0" collapsed="false">
      <c r="A6" s="29" t="s">
        <v>177</v>
      </c>
      <c r="B6" s="30" t="s">
        <v>178</v>
      </c>
      <c r="C6" s="31"/>
      <c r="D6" s="32"/>
      <c r="E6" s="33"/>
    </row>
    <row r="7" customFormat="false" ht="24" hidden="false" customHeight="true" outlineLevel="0" collapsed="false">
      <c r="A7" s="29" t="s">
        <v>179</v>
      </c>
      <c r="B7" s="30" t="s">
        <v>180</v>
      </c>
      <c r="C7" s="31"/>
      <c r="D7" s="32"/>
      <c r="E7" s="33"/>
    </row>
    <row r="8" customFormat="false" ht="24" hidden="false" customHeight="true" outlineLevel="0" collapsed="false">
      <c r="A8" s="29" t="s">
        <v>181</v>
      </c>
      <c r="B8" s="30" t="s">
        <v>182</v>
      </c>
      <c r="C8" s="31"/>
      <c r="D8" s="32"/>
      <c r="E8" s="33"/>
    </row>
    <row r="9" customFormat="false" ht="24" hidden="false" customHeight="true" outlineLevel="0" collapsed="false">
      <c r="A9" s="29" t="s">
        <v>183</v>
      </c>
      <c r="B9" s="30" t="s">
        <v>184</v>
      </c>
      <c r="C9" s="31"/>
      <c r="D9" s="32"/>
      <c r="E9" s="33"/>
    </row>
    <row r="10" customFormat="false" ht="24" hidden="false" customHeight="true" outlineLevel="0" collapsed="false">
      <c r="A10" s="29" t="s">
        <v>185</v>
      </c>
      <c r="B10" s="30" t="s">
        <v>186</v>
      </c>
      <c r="C10" s="31"/>
      <c r="D10" s="32"/>
      <c r="E10" s="33"/>
    </row>
    <row r="11" customFormat="false" ht="24" hidden="false" customHeight="true" outlineLevel="0" collapsed="false">
      <c r="A11" s="29" t="s">
        <v>187</v>
      </c>
      <c r="B11" s="30" t="s">
        <v>188</v>
      </c>
      <c r="C11" s="31"/>
      <c r="D11" s="32"/>
      <c r="E11" s="33"/>
    </row>
    <row r="12" customFormat="false" ht="24" hidden="false" customHeight="true" outlineLevel="0" collapsed="false">
      <c r="A12" s="29" t="s">
        <v>189</v>
      </c>
      <c r="B12" s="30" t="s">
        <v>190</v>
      </c>
      <c r="C12" s="31"/>
      <c r="D12" s="32"/>
      <c r="E12" s="33"/>
    </row>
    <row r="13" customFormat="false" ht="24" hidden="false" customHeight="true" outlineLevel="0" collapsed="false">
      <c r="A13" s="29" t="s">
        <v>191</v>
      </c>
      <c r="B13" s="30" t="s">
        <v>192</v>
      </c>
      <c r="C13" s="31"/>
      <c r="D13" s="32"/>
      <c r="E13" s="33"/>
    </row>
    <row r="14" customFormat="false" ht="21.75" hidden="false" customHeight="true" outlineLevel="0" collapsed="false">
      <c r="A14" s="23" t="s">
        <v>193</v>
      </c>
      <c r="B14" s="23"/>
      <c r="C14" s="23"/>
      <c r="D14" s="23"/>
      <c r="E14" s="23"/>
    </row>
    <row r="15" customFormat="false" ht="18" hidden="false" customHeight="true" outlineLevel="0" collapsed="false">
      <c r="A15" s="34" t="s">
        <v>194</v>
      </c>
    </row>
    <row r="16" customFormat="false" ht="15" hidden="false" customHeight="false" outlineLevel="0" collapsed="false">
      <c r="B16" s="34" t="s">
        <v>111</v>
      </c>
    </row>
    <row r="17" customFormat="false" ht="15" hidden="false" customHeight="false" outlineLevel="0" collapsed="false">
      <c r="C17" s="34" t="s">
        <v>195</v>
      </c>
    </row>
    <row r="18" customFormat="false" ht="15" hidden="false" customHeight="false" outlineLevel="0" collapsed="false">
      <c r="D18" s="34" t="s">
        <v>196</v>
      </c>
    </row>
    <row r="19" customFormat="false" ht="15" hidden="false" customHeight="false" outlineLevel="0" collapsed="false">
      <c r="E19" s="34" t="s">
        <v>197</v>
      </c>
    </row>
    <row r="20" customFormat="false" ht="25.5" hidden="false" customHeight="true" outlineLevel="0" collapsed="false">
      <c r="A20" s="35" t="s">
        <v>198</v>
      </c>
      <c r="B20" s="32" t="s">
        <v>182</v>
      </c>
      <c r="C20" s="31" t="s">
        <v>130</v>
      </c>
      <c r="D20" s="33" t="s">
        <v>199</v>
      </c>
      <c r="E20" s="36" t="s">
        <v>200</v>
      </c>
    </row>
    <row r="21" customFormat="false" ht="25.5" hidden="false" customHeight="true" outlineLevel="0" collapsed="false">
      <c r="A21" s="35" t="s">
        <v>201</v>
      </c>
      <c r="B21" s="32" t="s">
        <v>182</v>
      </c>
      <c r="C21" s="31" t="s">
        <v>134</v>
      </c>
      <c r="D21" s="33" t="s">
        <v>202</v>
      </c>
      <c r="E21" s="36" t="s">
        <v>200</v>
      </c>
    </row>
    <row r="22" customFormat="false" ht="25.5" hidden="false" customHeight="true" outlineLevel="0" collapsed="false">
      <c r="A22" s="35" t="s">
        <v>203</v>
      </c>
      <c r="B22" s="32" t="s">
        <v>182</v>
      </c>
      <c r="C22" s="31" t="s">
        <v>46</v>
      </c>
      <c r="D22" s="33" t="s">
        <v>204</v>
      </c>
      <c r="E22" s="36" t="s">
        <v>200</v>
      </c>
    </row>
    <row r="23" customFormat="false" ht="25.5" hidden="false" customHeight="true" outlineLevel="0" collapsed="false">
      <c r="A23" s="35" t="s">
        <v>137</v>
      </c>
      <c r="B23" s="32" t="s">
        <v>182</v>
      </c>
      <c r="C23" s="31" t="s">
        <v>64</v>
      </c>
      <c r="D23" s="33"/>
      <c r="E23" s="36" t="s">
        <v>200</v>
      </c>
    </row>
    <row r="24" customFormat="false" ht="25.5" hidden="false" customHeight="true" outlineLevel="0" collapsed="false">
      <c r="A24" s="35" t="s">
        <v>141</v>
      </c>
      <c r="B24" s="32" t="s">
        <v>182</v>
      </c>
      <c r="C24" s="31" t="s">
        <v>60</v>
      </c>
      <c r="D24" s="33" t="s">
        <v>205</v>
      </c>
      <c r="E24" s="36" t="s">
        <v>200</v>
      </c>
    </row>
    <row r="25" customFormat="false" ht="25.5" hidden="false" customHeight="true" outlineLevel="0" collapsed="false">
      <c r="A25" s="35" t="s">
        <v>206</v>
      </c>
      <c r="B25" s="32" t="s">
        <v>182</v>
      </c>
      <c r="C25" s="31" t="s">
        <v>60</v>
      </c>
      <c r="D25" s="33" t="s">
        <v>207</v>
      </c>
      <c r="E25" s="36" t="s">
        <v>200</v>
      </c>
    </row>
    <row r="26" customFormat="false" ht="25.5" hidden="false" customHeight="true" outlineLevel="0" collapsed="false">
      <c r="A26" s="35" t="s">
        <v>208</v>
      </c>
      <c r="B26" s="32" t="s">
        <v>182</v>
      </c>
      <c r="C26" s="31" t="s">
        <v>60</v>
      </c>
      <c r="D26" s="33" t="s">
        <v>209</v>
      </c>
      <c r="E26" s="36" t="s">
        <v>200</v>
      </c>
    </row>
    <row r="27" customFormat="false" ht="21.75" hidden="false" customHeight="true" outlineLevel="0" collapsed="false">
      <c r="A27" s="19" t="s">
        <v>210</v>
      </c>
      <c r="B27" s="19"/>
      <c r="C27" s="19"/>
      <c r="D27" s="19"/>
      <c r="E27" s="19"/>
    </row>
    <row r="28" customFormat="false" ht="18" hidden="false" customHeight="true" outlineLevel="0" collapsed="false">
      <c r="A28" s="37" t="s">
        <v>211</v>
      </c>
    </row>
    <row r="29" customFormat="false" ht="15" hidden="false" customHeight="false" outlineLevel="0" collapsed="false">
      <c r="B29" s="37" t="s">
        <v>212</v>
      </c>
    </row>
    <row r="30" customFormat="false" ht="15" hidden="false" customHeight="false" outlineLevel="0" collapsed="false">
      <c r="C30" s="37" t="s">
        <v>213</v>
      </c>
    </row>
    <row r="31" customFormat="false" ht="15" hidden="false" customHeight="false" outlineLevel="0" collapsed="false">
      <c r="D31" s="37" t="s">
        <v>214</v>
      </c>
    </row>
    <row r="32" customFormat="false" ht="15" hidden="false" customHeight="false" outlineLevel="0" collapsed="false">
      <c r="E32" s="37"/>
    </row>
    <row r="33" customFormat="false" ht="27.75" hidden="false" customHeight="true" outlineLevel="0" collapsed="false">
      <c r="A33" s="38" t="s">
        <v>160</v>
      </c>
      <c r="B33" s="39" t="s">
        <v>215</v>
      </c>
      <c r="C33" s="40" t="s">
        <v>216</v>
      </c>
      <c r="D33" s="41" t="s">
        <v>217</v>
      </c>
      <c r="E33" s="42"/>
    </row>
    <row r="34" customFormat="false" ht="24" hidden="false" customHeight="true" outlineLevel="0" collapsed="false">
      <c r="A34" s="29" t="s">
        <v>218</v>
      </c>
      <c r="B34" s="43" t="s">
        <v>215</v>
      </c>
      <c r="C34" s="44" t="s">
        <v>20</v>
      </c>
      <c r="D34" s="33" t="s">
        <v>219</v>
      </c>
      <c r="E34" s="44"/>
    </row>
    <row r="35" customFormat="false" ht="24" hidden="false" customHeight="true" outlineLevel="0" collapsed="false">
      <c r="A35" s="29" t="s">
        <v>220</v>
      </c>
      <c r="B35" s="43" t="s">
        <v>215</v>
      </c>
      <c r="C35" s="44" t="s">
        <v>20</v>
      </c>
      <c r="D35" s="33" t="s">
        <v>221</v>
      </c>
      <c r="E35" s="44"/>
    </row>
    <row r="36" customFormat="false" ht="24" hidden="false" customHeight="true" outlineLevel="0" collapsed="false">
      <c r="A36" s="29" t="s">
        <v>222</v>
      </c>
      <c r="B36" s="43" t="s">
        <v>223</v>
      </c>
      <c r="C36" s="44"/>
      <c r="D36" s="33" t="s">
        <v>224</v>
      </c>
      <c r="E36" s="44"/>
    </row>
    <row r="37" customFormat="false" ht="24" hidden="false" customHeight="true" outlineLevel="0" collapsed="false">
      <c r="A37" s="29" t="s">
        <v>225</v>
      </c>
      <c r="B37" s="43" t="s">
        <v>226</v>
      </c>
      <c r="C37" s="44"/>
      <c r="D37" s="33" t="s">
        <v>227</v>
      </c>
      <c r="E37" s="44"/>
    </row>
    <row r="38" customFormat="false" ht="24" hidden="false" customHeight="true" outlineLevel="0" collapsed="false">
      <c r="A38" s="29" t="s">
        <v>228</v>
      </c>
      <c r="B38" s="43" t="s">
        <v>215</v>
      </c>
      <c r="C38" s="44"/>
      <c r="D38" s="33" t="s">
        <v>229</v>
      </c>
      <c r="E38" s="44"/>
    </row>
    <row r="39" customFormat="false" ht="24" hidden="false" customHeight="true" outlineLevel="0" collapsed="false">
      <c r="A39" s="29" t="s">
        <v>230</v>
      </c>
      <c r="B39" s="43" t="s">
        <v>231</v>
      </c>
      <c r="C39" s="44"/>
      <c r="D39" s="33" t="s">
        <v>232</v>
      </c>
      <c r="E39" s="44"/>
    </row>
    <row r="40" customFormat="false" ht="21.75" hidden="false" customHeight="true" outlineLevel="0" collapsed="false">
      <c r="A40" s="6" t="s">
        <v>233</v>
      </c>
      <c r="B40" s="6"/>
      <c r="C40" s="6"/>
      <c r="D40" s="6"/>
      <c r="E40" s="6"/>
    </row>
    <row r="41" customFormat="false" ht="18" hidden="false" customHeight="true" outlineLevel="0" collapsed="false">
      <c r="A41" s="24" t="s">
        <v>115</v>
      </c>
    </row>
    <row r="42" customFormat="false" ht="15" hidden="false" customHeight="false" outlineLevel="0" collapsed="false">
      <c r="B42" s="24" t="s">
        <v>14</v>
      </c>
    </row>
    <row r="43" customFormat="false" ht="15" hidden="false" customHeight="false" outlineLevel="0" collapsed="false">
      <c r="C43" s="24" t="s">
        <v>234</v>
      </c>
    </row>
    <row r="44" customFormat="false" ht="15" hidden="false" customHeight="false" outlineLevel="0" collapsed="false">
      <c r="D44" s="24" t="s">
        <v>235</v>
      </c>
    </row>
    <row r="45" customFormat="false" ht="15" hidden="false" customHeight="false" outlineLevel="0" collapsed="false">
      <c r="E45" s="24" t="s">
        <v>236</v>
      </c>
    </row>
    <row r="46" customFormat="false" ht="19.5" hidden="false" customHeight="true" outlineLevel="0" collapsed="false">
      <c r="A46" s="10" t="s">
        <v>237</v>
      </c>
      <c r="B46" s="10"/>
      <c r="C46" s="10"/>
      <c r="D46" s="10"/>
      <c r="E46" s="10"/>
    </row>
    <row r="47" customFormat="false" ht="19.5" hidden="false" customHeight="true" outlineLevel="0" collapsed="false">
      <c r="A47" s="45" t="s">
        <v>238</v>
      </c>
      <c r="B47" s="45"/>
      <c r="C47" s="45"/>
      <c r="D47" s="45"/>
      <c r="E47" s="45"/>
    </row>
    <row r="48" customFormat="false" ht="19.5" hidden="false" customHeight="true" outlineLevel="0" collapsed="false">
      <c r="A48" s="10" t="s">
        <v>239</v>
      </c>
      <c r="B48" s="10"/>
      <c r="C48" s="10"/>
      <c r="D48" s="10"/>
      <c r="E48" s="10"/>
    </row>
    <row r="49" customFormat="false" ht="19.5" hidden="false" customHeight="true" outlineLevel="0" collapsed="false">
      <c r="A49" s="45" t="s">
        <v>240</v>
      </c>
      <c r="B49" s="45"/>
      <c r="C49" s="45"/>
      <c r="D49" s="45"/>
      <c r="E49" s="45"/>
    </row>
    <row r="50" customFormat="false" ht="19.5" hidden="false" customHeight="true" outlineLevel="0" collapsed="false">
      <c r="A50" s="10" t="s">
        <v>241</v>
      </c>
      <c r="B50" s="10"/>
      <c r="C50" s="10"/>
      <c r="D50" s="10"/>
      <c r="E50" s="10"/>
    </row>
    <row r="51" customFormat="false" ht="19.5" hidden="false" customHeight="true" outlineLevel="0" collapsed="false">
      <c r="A51" s="45" t="s">
        <v>242</v>
      </c>
      <c r="B51" s="45"/>
      <c r="C51" s="45"/>
      <c r="D51" s="45"/>
      <c r="E51" s="45"/>
    </row>
    <row r="52" customFormat="false" ht="19.5" hidden="false" customHeight="true" outlineLevel="0" collapsed="false">
      <c r="A52" s="10" t="s">
        <v>243</v>
      </c>
      <c r="B52" s="10"/>
      <c r="C52" s="10"/>
      <c r="D52" s="10"/>
      <c r="E52" s="10"/>
    </row>
    <row r="53" customFormat="false" ht="19.5" hidden="false" customHeight="true" outlineLevel="0" collapsed="false">
      <c r="A53" s="45" t="s">
        <v>244</v>
      </c>
      <c r="B53" s="45"/>
      <c r="C53" s="45"/>
      <c r="D53" s="45"/>
      <c r="E53" s="45"/>
    </row>
    <row r="54" customFormat="false" ht="19.5" hidden="false" customHeight="true" outlineLevel="0" collapsed="false">
      <c r="A54" s="10" t="s">
        <v>245</v>
      </c>
      <c r="B54" s="10"/>
      <c r="C54" s="10"/>
      <c r="D54" s="10"/>
      <c r="E54" s="10"/>
    </row>
    <row r="55" customFormat="false" ht="19.5" hidden="false" customHeight="true" outlineLevel="0" collapsed="false">
      <c r="A55" s="45" t="s">
        <v>246</v>
      </c>
      <c r="B55" s="45"/>
      <c r="C55" s="45"/>
      <c r="D55" s="45"/>
      <c r="E55" s="45"/>
    </row>
    <row r="56" customFormat="false" ht="21.75" hidden="false" customHeight="true" outlineLevel="0" collapsed="false">
      <c r="A56" s="6" t="s">
        <v>247</v>
      </c>
      <c r="B56" s="6"/>
      <c r="C56" s="6"/>
      <c r="D56" s="6"/>
      <c r="E56" s="6"/>
    </row>
    <row r="57" customFormat="false" ht="18" hidden="false" customHeight="true" outlineLevel="0" collapsed="false">
      <c r="A57" s="3" t="s">
        <v>248</v>
      </c>
      <c r="B57" s="46" t="s">
        <v>249</v>
      </c>
      <c r="C57" s="47" t="s">
        <v>172</v>
      </c>
      <c r="D57" s="46" t="s">
        <v>250</v>
      </c>
      <c r="E57" s="45"/>
    </row>
    <row r="58" customFormat="false" ht="18" hidden="false" customHeight="true" outlineLevel="0" collapsed="false">
      <c r="A58" s="48" t="s">
        <v>251</v>
      </c>
      <c r="B58" s="46" t="s">
        <v>249</v>
      </c>
      <c r="C58" s="47" t="s">
        <v>172</v>
      </c>
      <c r="D58" s="46" t="s">
        <v>250</v>
      </c>
      <c r="E58" s="45"/>
    </row>
    <row r="59" customFormat="false" ht="13.5" hidden="false" customHeight="true" outlineLevel="0" collapsed="false">
      <c r="A59" s="22" t="s">
        <v>252</v>
      </c>
      <c r="B59" s="22"/>
      <c r="C59" s="22"/>
      <c r="D59" s="22"/>
      <c r="E59" s="22"/>
    </row>
  </sheetData>
  <mergeCells count="8">
    <mergeCell ref="A1:E1"/>
    <mergeCell ref="A2:E2"/>
    <mergeCell ref="A4:E4"/>
    <mergeCell ref="A14:E14"/>
    <mergeCell ref="A27:E27"/>
    <mergeCell ref="A40:E40"/>
    <mergeCell ref="A56:E56"/>
    <mergeCell ref="A59:E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6E"/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42" hidden="false" customHeight="true" outlineLevel="0" collapsed="false">
      <c r="A1" s="1" t="s">
        <v>253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254</v>
      </c>
      <c r="B2" s="2"/>
      <c r="C2" s="2"/>
      <c r="D2" s="2"/>
      <c r="E2" s="2"/>
    </row>
    <row r="3" customFormat="false" ht="18" hidden="false" customHeight="true" outlineLevel="0" collapsed="false">
      <c r="A3" s="49" t="s">
        <v>255</v>
      </c>
    </row>
    <row r="4" customFormat="false" ht="13.5" hidden="false" customHeight="true" outlineLevel="0" collapsed="false">
      <c r="A4" s="50" t="s">
        <v>256</v>
      </c>
    </row>
    <row r="5" customFormat="false" ht="15" hidden="false" customHeight="true" outlineLevel="0" collapsed="false">
      <c r="A5" s="51" t="s">
        <v>257</v>
      </c>
    </row>
    <row r="6" customFormat="false" ht="15" hidden="false" customHeight="true" outlineLevel="0" collapsed="false">
      <c r="A6" s="51" t="s">
        <v>258</v>
      </c>
    </row>
    <row r="7" customFormat="false" ht="15" hidden="false" customHeight="true" outlineLevel="0" collapsed="false">
      <c r="A7" s="51" t="s">
        <v>259</v>
      </c>
    </row>
    <row r="8" customFormat="false" ht="15" hidden="false" customHeight="true" outlineLevel="0" collapsed="false">
      <c r="A8" s="52"/>
    </row>
    <row r="9" customFormat="false" ht="15" hidden="false" customHeight="true" outlineLevel="0" collapsed="false">
      <c r="A9" s="53" t="s">
        <v>260</v>
      </c>
    </row>
    <row r="10" customFormat="false" ht="15" hidden="false" customHeight="true" outlineLevel="0" collapsed="false">
      <c r="A10" s="51" t="s">
        <v>261</v>
      </c>
    </row>
    <row r="11" customFormat="false" ht="15" hidden="false" customHeight="true" outlineLevel="0" collapsed="false">
      <c r="A11" s="51" t="s">
        <v>262</v>
      </c>
    </row>
    <row r="12" customFormat="false" ht="15" hidden="false" customHeight="true" outlineLevel="0" collapsed="false">
      <c r="A12" s="52"/>
    </row>
    <row r="13" customFormat="false" ht="15" hidden="false" customHeight="true" outlineLevel="0" collapsed="false">
      <c r="A13" s="53" t="s">
        <v>263</v>
      </c>
    </row>
    <row r="14" customFormat="false" ht="15" hidden="false" customHeight="true" outlineLevel="0" collapsed="false">
      <c r="A14" s="51" t="s">
        <v>264</v>
      </c>
    </row>
    <row r="15" customFormat="false" ht="15" hidden="false" customHeight="true" outlineLevel="0" collapsed="false">
      <c r="A15" s="51" t="s">
        <v>265</v>
      </c>
    </row>
    <row r="16" customFormat="false" ht="15" hidden="false" customHeight="true" outlineLevel="0" collapsed="false">
      <c r="A16" s="52"/>
    </row>
    <row r="17" customFormat="false" ht="15" hidden="false" customHeight="true" outlineLevel="0" collapsed="false">
      <c r="A17" s="53" t="s">
        <v>266</v>
      </c>
    </row>
    <row r="18" customFormat="false" ht="15" hidden="false" customHeight="true" outlineLevel="0" collapsed="false">
      <c r="A18" s="51" t="s">
        <v>267</v>
      </c>
    </row>
    <row r="19" customFormat="false" ht="15" hidden="false" customHeight="true" outlineLevel="0" collapsed="false">
      <c r="A19" s="52"/>
    </row>
    <row r="20" customFormat="false" ht="15" hidden="false" customHeight="true" outlineLevel="0" collapsed="false">
      <c r="A20" s="53" t="s">
        <v>268</v>
      </c>
    </row>
    <row r="21" customFormat="false" ht="15" hidden="false" customHeight="true" outlineLevel="0" collapsed="false">
      <c r="A21" s="51" t="s">
        <v>269</v>
      </c>
    </row>
    <row r="22" customFormat="false" ht="15" hidden="false" customHeight="true" outlineLevel="0" collapsed="false">
      <c r="A22" s="52"/>
    </row>
    <row r="23" customFormat="false" ht="15" hidden="false" customHeight="true" outlineLevel="0" collapsed="false">
      <c r="A23" s="53" t="s">
        <v>270</v>
      </c>
    </row>
    <row r="24" customFormat="false" ht="15" hidden="false" customHeight="true" outlineLevel="0" collapsed="false">
      <c r="A24" s="51" t="s">
        <v>271</v>
      </c>
    </row>
    <row r="25" customFormat="false" ht="15" hidden="false" customHeight="true" outlineLevel="0" collapsed="false">
      <c r="A25" s="51" t="s">
        <v>272</v>
      </c>
    </row>
    <row r="26" customFormat="false" ht="15" hidden="false" customHeight="true" outlineLevel="0" collapsed="false">
      <c r="A26" s="51" t="s">
        <v>273</v>
      </c>
    </row>
    <row r="27" customFormat="false" ht="15" hidden="false" customHeight="true" outlineLevel="0" collapsed="false">
      <c r="A27" s="51" t="s">
        <v>274</v>
      </c>
    </row>
    <row r="28" customFormat="false" ht="15" hidden="false" customHeight="true" outlineLevel="0" collapsed="false">
      <c r="A28" s="52"/>
    </row>
    <row r="29" customFormat="false" ht="15" hidden="false" customHeight="true" outlineLevel="0" collapsed="false">
      <c r="A29" s="54" t="s">
        <v>275</v>
      </c>
    </row>
    <row r="30" customFormat="false" ht="15" hidden="false" customHeight="true" outlineLevel="0" collapsed="false">
      <c r="A30" s="52"/>
    </row>
    <row r="31" customFormat="false" ht="15" hidden="false" customHeight="true" outlineLevel="0" collapsed="false">
      <c r="A31" s="53" t="s">
        <v>276</v>
      </c>
    </row>
    <row r="32" customFormat="false" ht="15" hidden="false" customHeight="true" outlineLevel="0" collapsed="false">
      <c r="A32" s="51" t="s">
        <v>277</v>
      </c>
    </row>
    <row r="33" customFormat="false" ht="15" hidden="false" customHeight="true" outlineLevel="0" collapsed="false">
      <c r="A33" s="51" t="s">
        <v>278</v>
      </c>
    </row>
    <row r="34" customFormat="false" ht="15" hidden="false" customHeight="true" outlineLevel="0" collapsed="false">
      <c r="A34" s="51" t="s">
        <v>279</v>
      </c>
    </row>
    <row r="35" customFormat="false" ht="15" hidden="false" customHeight="true" outlineLevel="0" collapsed="false">
      <c r="A35" s="51" t="s">
        <v>280</v>
      </c>
    </row>
    <row r="36" customFormat="false" ht="15" hidden="false" customHeight="true" outlineLevel="0" collapsed="false">
      <c r="A36" s="51" t="s">
        <v>281</v>
      </c>
    </row>
    <row r="37" customFormat="false" ht="15" hidden="false" customHeight="true" outlineLevel="0" collapsed="false">
      <c r="A37" s="51" t="s">
        <v>282</v>
      </c>
    </row>
    <row r="38" customFormat="false" ht="15" hidden="false" customHeight="true" outlineLevel="0" collapsed="false">
      <c r="A38" s="51" t="s">
        <v>283</v>
      </c>
    </row>
    <row r="39" customFormat="false" ht="15" hidden="false" customHeight="true" outlineLevel="0" collapsed="false">
      <c r="A39" s="51" t="s">
        <v>284</v>
      </c>
    </row>
    <row r="40" customFormat="false" ht="15" hidden="false" customHeight="true" outlineLevel="0" collapsed="false">
      <c r="A40" s="51" t="s">
        <v>285</v>
      </c>
    </row>
    <row r="41" customFormat="false" ht="15" hidden="false" customHeight="true" outlineLevel="0" collapsed="false">
      <c r="A41" s="51" t="s">
        <v>286</v>
      </c>
    </row>
    <row r="42" customFormat="false" ht="15" hidden="false" customHeight="true" outlineLevel="0" collapsed="false">
      <c r="A42" s="51" t="s">
        <v>287</v>
      </c>
    </row>
    <row r="43" customFormat="false" ht="15" hidden="false" customHeight="true" outlineLevel="0" collapsed="false">
      <c r="A43" s="51" t="s">
        <v>288</v>
      </c>
    </row>
    <row r="44" customFormat="false" ht="15" hidden="false" customHeight="true" outlineLevel="0" collapsed="false">
      <c r="A44" s="51" t="s">
        <v>289</v>
      </c>
    </row>
    <row r="45" customFormat="false" ht="15" hidden="false" customHeight="true" outlineLevel="0" collapsed="false">
      <c r="A45" s="51" t="s">
        <v>290</v>
      </c>
    </row>
    <row r="46" customFormat="false" ht="15" hidden="false" customHeight="false" outlineLevel="0" collapsed="false">
      <c r="A46" s="55" t="s">
        <v>291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2026-04-15T13:21:11Z</dcterms:created>
  <dc:creator>openpyxl</dc:creator>
  <dc:description/>
  <dc:language>en-US</dc:language>
  <cp:lastModifiedBy/>
  <dcterms:modified xsi:type="dcterms:W3CDTF">2026-04-15T13:21:11Z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