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<sst xmlns="http://schemas.openxmlformats.org/spreadsheetml/2006/main" count="450" uniqueCount="381">
  <si>
    <t xml:space="preserve">ENESA  ·  PASZPORT SYSTEMU SPRĘŻONEGO POWIETRZA CA  ·  A-EnMS-CA-SYS-01  ·  ANKIETA ETAP 1</t>
  </si>
  <si>
    <t xml:space="preserve">Wypełnia: Energy Manager lub Konsultant ENESA  ·  Pola ŻÓŁTE = wpisz  ·  Wizja lokalna sprężarkowni i sieci CA</t>
  </si>
  <si>
    <t xml:space="preserve">ID SYSTEMU / ZAKŁAD:</t>
  </si>
  <si>
    <t xml:space="preserve">Data przeglądu:</t>
  </si>
  <si>
    <t xml:space="preserve">Konsultant ENESA: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</si>
  <si>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</si>
  <si>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</si>
  <si>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</si>
  <si>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</si>
  <si>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</si>
  <si>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BLOK A — TOPOGRAFIA I INFRASTRUKTURA SPRĘŻARKOWNI</t>
  </si>
  <si>
    <t xml:space="preserve">A-01</t>
  </si>
  <si>
    <t xml:space="preserve">Czy wszystkie sprężarki są w jednej sprężarkowni?</t>
  </si>
  <si>
    <t xml:space="preserve">TAK / NIE — jeśli nie: podaj lokalizacje i numery ID sprężarek</t>
  </si>
  <si>
    <t xml:space="preserve">A-02</t>
  </si>
  <si>
    <t xml:space="preserve">Rok wykonania instalacji CA (sieci rurowej)</t>
  </si>
  <si>
    <t xml:space="preserve">rok</t>
  </si>
  <si>
    <t xml:space="preserve">Wiek instalacji → ocena ryzyka korozji, wycieków, strat ciśnienia</t>
  </si>
  <si>
    <t xml:space="preserve">A-03</t>
  </si>
  <si>
    <t xml:space="preserve">Materiał rurociągów CA (główna sieć)</t>
  </si>
  <si>
    <t xml:space="preserve">Stal galwanizowana / Stal czarna / Aluminium (Transair/Prevost) / Miedź / Tworzywo</t>
  </si>
  <si>
    <t xml:space="preserve">A-04</t>
  </si>
  <si>
    <t xml:space="preserve">Czy istnieje aktualny schemat / P&amp;ID instalacji CA?</t>
  </si>
  <si>
    <t xml:space="preserve">TAK — gdzie przechowywany / NIE. Schemat z zaznaczonymi średnicami, odcinkami, punktami pomiarowymi</t>
  </si>
  <si>
    <t xml:space="preserve">A-05</t>
  </si>
  <si>
    <t xml:space="preserve">Czystość pomieszczenia sprężarkowni</t>
  </si>
  <si>
    <t xml:space="preserve">Czyste / Dostateczne / Zanieczyszczone (pył, tłuszcz) → wpływ na żywotność sprężarki i filtrów</t>
  </si>
  <si>
    <t xml:space="preserve">A-06</t>
  </si>
  <si>
    <t xml:space="preserve">Czy jest swobodny dopływ świeżego powietrza do sprężarkowni?</t>
  </si>
  <si>
    <t xml:space="preserve">TAK / NIE. Brak wentylacji = wzrost temperatury → spadek wydajności ~1%/°C powyżej normy</t>
  </si>
  <si>
    <t xml:space="preserve">A-07</t>
  </si>
  <si>
    <t xml:space="preserve">Temperatura w sprężarkowni latem [°C]</t>
  </si>
  <si>
    <t xml:space="preserve">°C</t>
  </si>
  <si>
    <t xml:space="preserve">Odczyt z termometru lub ocena. Norma: maks. 40°C. Każde +10°C powyżej 25°C = -3% wydajności</t>
  </si>
  <si>
    <t xml:space="preserve">A-08</t>
  </si>
  <si>
    <t xml:space="preserve">Czy czerpnia powietrza pobiera powietrze z zewnątrz budynku?</t>
  </si>
  <si>
    <t xml:space="preserve">TAK (z zewnątrz — optymalne) / NIE (z wnętrza hali — ciepłe powietrze = gorsza sprawność)</t>
  </si>
  <si>
    <t xml:space="preserve">A-09</t>
  </si>
  <si>
    <t xml:space="preserve">Temperatura powietrza na wlocie do sprężarki (w sprężarkowni) [°C]</t>
  </si>
  <si>
    <t xml:space="preserve">Im zimniejsze powietrze na wlocie, tym wyższa wydajność. Różnica 10°C = ok. 3% wydajności</t>
  </si>
  <si>
    <t xml:space="preserve">A-10</t>
  </si>
  <si>
    <t xml:space="preserve">Czy jest system odzysku ciepła ze sprężarki / sprężarkowni?</t>
  </si>
  <si>
    <t xml:space="preserve">TAK — kanały do hali lub wymiennik woda / NIE — ciepło wyrzucane na zewnątrz</t>
  </si>
  <si>
    <t xml:space="preserve">  BLOK B — ZBIORNIKI CIŚNIENIOWE (akumulatory)</t>
  </si>
  <si>
    <t xml:space="preserve">B-01</t>
  </si>
  <si>
    <t xml:space="preserve">Pojemność zbiornika głównego (bufora) [litry]</t>
  </si>
  <si>
    <t xml:space="preserve">l</t>
  </si>
  <si>
    <t xml:space="preserve">Z tabliczki na zbiorniku. Reguła optymalna: 6-10× wydajność systemu [Nm³/min] × 1000</t>
  </si>
  <si>
    <t xml:space="preserve">B-02</t>
  </si>
  <si>
    <t xml:space="preserve">Rok produkcji zbiornika głównego</t>
  </si>
  <si>
    <t xml:space="preserve">Z tabliczki zbiornika lub dokumentacji UDT</t>
  </si>
  <si>
    <t xml:space="preserve">B-03</t>
  </si>
  <si>
    <t xml:space="preserve">Numer UDT zbiornika głównego</t>
  </si>
  <si>
    <t xml:space="preserve">Z tabliczki lub protokołu UDT — np. UDT-12345/2018</t>
  </si>
  <si>
    <t xml:space="preserve">B-04</t>
  </si>
  <si>
    <t xml:space="preserve">Data ostatniego przeglądu UDT zbiornika głównego</t>
  </si>
  <si>
    <t xml:space="preserve">DD.MM.RRRR — z naklejki UDT lub protokołu. Przegląd wewnętrzny co 2 lata, zewnętrzny co 4 lata</t>
  </si>
  <si>
    <t xml:space="preserve">B-05</t>
  </si>
  <si>
    <t xml:space="preserve">Czy są zbiorniki lokalne przy wydziałach?</t>
  </si>
  <si>
    <t xml:space="preserve">TAK — ile i gdzie / NIE. Zbiorniki lokalne buforują szczyty zapotrzebowania</t>
  </si>
  <si>
    <t xml:space="preserve">B-06</t>
  </si>
  <si>
    <t xml:space="preserve">Łączna pojemność zbiorników w systemie [litry]</t>
  </si>
  <si>
    <t xml:space="preserve">Suma: zbiornik główny + wszystkie lokalne</t>
  </si>
  <si>
    <t xml:space="preserve">B-07</t>
  </si>
  <si>
    <t xml:space="preserve">Czy zainstalowany zawór bezpieczeństwa (PSV) na zbiorniku?</t>
  </si>
  <si>
    <t xml:space="preserve">TAK / NIE. Wymagany przepisami UDT — brak = niezgodność prawna</t>
  </si>
  <si>
    <t xml:space="preserve">B-08</t>
  </si>
  <si>
    <t xml:space="preserve">Czy zainstalowany automatyczny odwadniacz na zbiorniku?</t>
  </si>
  <si>
    <t xml:space="preserve">TAK — typ (elektroniczny / timer / pływakowy) / NIE. Brak = woda w instalacji = korozja</t>
  </si>
  <si>
    <t xml:space="preserve">  BLOK C — STEROWANIE SYSTEMEM CA  ★ KLUCZOWE DLA EFEKTYWNOŚCI</t>
  </si>
  <si>
    <t xml:space="preserve">C-01</t>
  </si>
  <si>
    <t xml:space="preserve">Czy system ma sterownik nadrzędny (sekwencer / master controller)?</t>
  </si>
  <si>
    <t xml:space="preserve">TAK — marka i model / NIE. BRAK = sprężarki pracują niezależnie → duże straty energii przy &gt; 2 sprężarkach</t>
  </si>
  <si>
    <t xml:space="preserve">C-02</t>
  </si>
  <si>
    <t xml:space="preserve">Producent i model sterownika nadrzędnego</t>
  </si>
  <si>
    <t xml:space="preserve">np. Atlas Copco ES, Kaeser Sigma Air Manager, Compair Delcos, Gardner Denver iMASC</t>
  </si>
  <si>
    <t xml:space="preserve">C-03</t>
  </si>
  <si>
    <t xml:space="preserve">Ciśnienie robocze — nastawa GÓRNA (pressure band HIGH) [bar(g)]</t>
  </si>
  <si>
    <t xml:space="preserve">bar</t>
  </si>
  <si>
    <t xml:space="preserve">Odczyt z panelu sterownika nadrzędnego lub sterownika sprężarki</t>
  </si>
  <si>
    <t xml:space="preserve">C-04</t>
  </si>
  <si>
    <t xml:space="preserve">Ciśnienie robocze — nastawa DOLNA (pressure band LOW) [bar(g)]</t>
  </si>
  <si>
    <t xml:space="preserve">Odczyt z panelu sterownika</t>
  </si>
  <si>
    <t xml:space="preserve">C-05</t>
  </si>
  <si>
    <t xml:space="preserve">Czy możliwe harmonogramowe zmiany ciśnienia (np. niższe w nocy)?</t>
  </si>
  <si>
    <t xml:space="preserve">TAK / NIE. Niższe ciśnienie poza produkcją = bezpośrednia oszczędność energii</t>
  </si>
  <si>
    <t xml:space="preserve">C-06</t>
  </si>
  <si>
    <t xml:space="preserve">Nastawa ciśnienia poza produkcją (noc / weekend) [bar(g)]</t>
  </si>
  <si>
    <t xml:space="preserve">Jeśli jest: wartość. Jeśli brak — wpisz 'brak harmonogramu'</t>
  </si>
  <si>
    <t xml:space="preserve">C-07</t>
  </si>
  <si>
    <t xml:space="preserve">Tryb sterowania sprężarek</t>
  </si>
  <si>
    <t xml:space="preserve">Lokalne (indywidualne nastawy) / Zdalne od sterownika nadrzędnego / BMS / SCADA</t>
  </si>
  <si>
    <t xml:space="preserve">C-08</t>
  </si>
  <si>
    <t xml:space="preserve">Kolejność pracy sprężarek (sekwencja)</t>
  </si>
  <si>
    <t xml:space="preserve">Manualna (operator decyduje) / Automatyczna rotacja (równomierne zużycie maszyn)</t>
  </si>
  <si>
    <t xml:space="preserve">  BLOK D — POMIARY I MONITORING</t>
  </si>
  <si>
    <t xml:space="preserve">D-01</t>
  </si>
  <si>
    <t xml:space="preserve">Czy jest zainstalowany przepływomierz CA na wyjściu sprężarkowni?</t>
  </si>
  <si>
    <t xml:space="preserve">TAK — typ (vortex / termiczny masowy / inne) / NIE. BEZ przepływomierza niemożliwy pomiar EnPI i wycieków — wymagany przez ISO 50001</t>
  </si>
  <si>
    <t xml:space="preserve">D-02</t>
  </si>
  <si>
    <t xml:space="preserve">Czy jest zainstalowany analizator energii / licznik kWh przy sprężarkach?</t>
  </si>
  <si>
    <t xml:space="preserve">TAK (ile szt.) / NIE. Licznik kWh = podstawa obliczenia E_roczna bez konieczności motogodzin</t>
  </si>
  <si>
    <t xml:space="preserve">D-03</t>
  </si>
  <si>
    <t xml:space="preserve">Czy dane są logowane ciągle (BMS, SCADA, logger)?</t>
  </si>
  <si>
    <t xml:space="preserve">TAK — platforma / NIE. ISO 11011 rekomenduje min. 14 dni ciągłych danych dla audytu CA</t>
  </si>
  <si>
    <t xml:space="preserve">D-04</t>
  </si>
  <si>
    <t xml:space="preserve">Ciśnienie na wyjściu sprężarkowni (za zbiornikiem głównym) [bar(g)]</t>
  </si>
  <si>
    <t xml:space="preserve">Odczyt aktualny z manometru lub sterownika</t>
  </si>
  <si>
    <t xml:space="preserve">D-05</t>
  </si>
  <si>
    <t xml:space="preserve">Ciśnienie u najdalszego odbiornika [bar(g)]</t>
  </si>
  <si>
    <t xml:space="preserve">Odczyt z manometru przy najdalszym lub najważniejszym odbiorniku CA. Jeśli nieznane — wpisz 'brak pomiaru'</t>
  </si>
  <si>
    <t xml:space="preserve">D-06</t>
  </si>
  <si>
    <t xml:space="preserve">Czy jest monitoring punktu rosy (dew point sensor)?</t>
  </si>
  <si>
    <t xml:space="preserve">TAK — wartość aktualnego dew point [°C] / NIE. Brak monitoringu = ryzyko niezauważonej awarii osuszacza</t>
  </si>
  <si>
    <t xml:space="preserve">D-07</t>
  </si>
  <si>
    <t xml:space="preserve">Aktualny dew point (punkt rosy) [°C]</t>
  </si>
  <si>
    <t xml:space="preserve">Odczyt z czujnika dew point. Ziębniczy osuszacz: +3°C. Absorpcyjny: -40°C. Jeśli brak czujnika — 'brak pomiaru'</t>
  </si>
  <si>
    <t xml:space="preserve">  BLOK E — ODBIORNIKI I SIEĆ DYSTRYBUCJI  ★ KLUCZOWE dla optymalizacji ciśnienia</t>
  </si>
  <si>
    <t xml:space="preserve">E-01</t>
  </si>
  <si>
    <t xml:space="preserve">Jakie jest maksymalne wymagane ciśnienie u odbiorców? [bar(g)]</t>
  </si>
  <si>
    <t xml:space="preserve">Szukaj najbardziej wymagającego odbiorcy — najwyższe ciśnienie dyktuje nastawa całego systemu</t>
  </si>
  <si>
    <t xml:space="preserve">E-02</t>
  </si>
  <si>
    <t xml:space="preserve">Czy są odbiorcy wymagający &gt; 8 bar (wysokociśnieniowe)?</t>
  </si>
  <si>
    <t xml:space="preserve">TAK — opisz jakie (np. prasy hydrauliczne, specjalne technologie) i ile szt. / NIE. Wysokociśnieniowi = kandydaci na lokalny booster</t>
  </si>
  <si>
    <t xml:space="preserve">E-03</t>
  </si>
  <si>
    <t xml:space="preserve">Jaki % łącznego zużycia CA trafia do narzędzi pneumatycznych (4-6 bar)?</t>
  </si>
  <si>
    <t xml:space="preserve">Szacunek: &lt;20% / 20-50% / &gt;50%. Odbiorniki 4-6 bar = potencjał redukcji ciśnienia systemowego</t>
  </si>
  <si>
    <t xml:space="preserve">E-04</t>
  </si>
  <si>
    <t xml:space="preserve">Czy są aplikacje używające CA do odmuchów / czyszczenia pistoletami?</t>
  </si>
  <si>
    <t xml:space="preserve">TAK — opisz gdzie i ile stanowisk / NIE. Odmuchy pistoletami = najdroższe użycie CA, 10× droższe od odkurzacza</t>
  </si>
  <si>
    <t xml:space="preserve">E-05</t>
  </si>
  <si>
    <t xml:space="preserve">Czy są aplikacje używające CA do chłodzenia narzędzi lub maszyn?</t>
  </si>
  <si>
    <t xml:space="preserve">TAK — opisz / NIE. Chłodzenie CA = 10× droższe niż chłodziwo / MQL</t>
  </si>
  <si>
    <t xml:space="preserve">E-06</t>
  </si>
  <si>
    <t xml:space="preserve">Czy są sekcje sieci odcinane w nocy / weekendy?</t>
  </si>
  <si>
    <t xml:space="preserve">TAK — które sekcje / NIE. Brak odcinania = wycieki pracują 24/7 bez produkcji</t>
  </si>
  <si>
    <t xml:space="preserve">E-07</t>
  </si>
  <si>
    <t xml:space="preserve">Czy przeprowadzono kiedykolwiek audyt wycieków (detektor ultradźwiękowy)?</t>
  </si>
  <si>
    <t xml:space="preserve">TAK — kiedy ostatnio (rok) / NIE. Brak audytu wycieków = nie wiadomo ile CA jest tracone</t>
  </si>
  <si>
    <t xml:space="preserve">E-08</t>
  </si>
  <si>
    <t xml:space="preserve">Szacowany % wycieków (zużycie weekendowe vs produkcyjne)</t>
  </si>
  <si>
    <t xml:space="preserve">%</t>
  </si>
  <si>
    <t xml:space="preserve">Oblicz z danych sprężarek: Q_weekend / Q_produkcja × 100. Benchmark: &lt;5% OK, &gt;15% krytyczne</t>
  </si>
  <si>
    <t xml:space="preserve">  BLOK F — UZDATNIANIE POWIETRZA — SYSTEM</t>
  </si>
  <si>
    <t xml:space="preserve">F-01</t>
  </si>
  <si>
    <t xml:space="preserve">Typ osuszacza w systemie</t>
  </si>
  <si>
    <t xml:space="preserve">Ziębniczy (refrigerant dryer) / Absorpcyjny heatless / Absorpcyjny HOC (heat of compression) / HOT / Brak</t>
  </si>
  <si>
    <t xml:space="preserve">F-02</t>
  </si>
  <si>
    <t xml:space="preserve">Docelowy punkt rosy systemu (wymagany przez procesy) [°C]</t>
  </si>
  <si>
    <t xml:space="preserve">Wymaganie technologiczne: ogólna produkcja: +3°C / precyzyjne narzędzia: -20°C / farmacja: -40°C</t>
  </si>
  <si>
    <t xml:space="preserve">F-03</t>
  </si>
  <si>
    <t xml:space="preserve">Czy osuszacz heatless zużywa CA na regenerację złoża?</t>
  </si>
  <si>
    <t xml:space="preserve">TAK — szacowany % (typowo 10-15%) / NIE (ziębniczy) / Nie wiem</t>
  </si>
  <si>
    <t xml:space="preserve">F-04</t>
  </si>
  <si>
    <t xml:space="preserve">Klasa czystości powietrza wymagana przez procesy (ISO 8573-1)</t>
  </si>
  <si>
    <t xml:space="preserve">Klasa 1-2 (precyzja, farmacja) / Klasa 3-4 (ogólne zastosowania) / Nieznana / Różne dla różnych sekcji</t>
  </si>
  <si>
    <t xml:space="preserve">F-05</t>
  </si>
  <si>
    <t xml:space="preserve">Kiedy ostatnio wymieniono filtry liniowe w całym systemie?</t>
  </si>
  <si>
    <t xml:space="preserve">Data lub 'nie wiem'. Zapchany filtr liniowy = lokalna strata 0.1-0.5 bar = wyższe koszty energii</t>
  </si>
  <si>
    <t xml:space="preserve">  ENESA sp. z o.o.  ·  A-EnMS-CA-SYS-01  ·  ANKIETA ETAP 1  ·  Wersja 3.0</t>
  </si>
  <si>
    <t xml:space="preserve">ENESA  ·  PASZPORT SYSTEMU CA  ·  A-EnMS-CA-SYS-01  ·  ETAP 2 — OBLICZENIA I DANE SYSTEMOWE</t>
  </si>
  <si>
    <t xml:space="preserve">Wypełnia: Energy Manager + Konsultant ENESA  ·  Pola NIEBIESKIE = wpisz  ·  Pola SZARE = formuły Excel</t>
  </si>
  <si>
    <t xml:space="preserve">Parametr / Obliczenie</t>
  </si>
  <si>
    <t xml:space="preserve">Wartość</t>
  </si>
  <si>
    <t xml:space="preserve">Norma / Źródło</t>
  </si>
  <si>
    <t xml:space="preserve">Komentarz / Wzór</t>
  </si>
  <si>
    <t xml:space="preserve">  SEKCJA 1 — ZESTAWIENIE SPRĘŻAREK SYSTEMU</t>
  </si>
  <si>
    <t xml:space="preserve">Łączna moc nominalna wszystkich sprężarek [kW]</t>
  </si>
  <si>
    <t xml:space="preserve">kW</t>
  </si>
  <si>
    <t xml:space="preserve">Suma z paszportów urządzeń</t>
  </si>
  <si>
    <t xml:space="preserve">Suma: P_nom_SPRZ-001 + P_nom_SPRZ-002 + ...</t>
  </si>
  <si>
    <t xml:space="preserve">Łączna moc sprężarek z VSD (falownik) [kW]</t>
  </si>
  <si>
    <t xml:space="preserve">Paszporty urządzeń</t>
  </si>
  <si>
    <t xml:space="preserve">Tylko sprężarki ze zmienną prędkością obrotową</t>
  </si>
  <si>
    <t xml:space="preserve">Łączna nominalna wydajność systemu [Nm³/min]</t>
  </si>
  <si>
    <t xml:space="preserve">Nm³/min</t>
  </si>
  <si>
    <t xml:space="preserve">Suma z paszportów</t>
  </si>
  <si>
    <t xml:space="preserve">Przy nominalnych ciśnieniach każdej sprężarki</t>
  </si>
  <si>
    <t xml:space="preserve">Liczba sprężarek z VSD / liczba łącznie</t>
  </si>
  <si>
    <t xml:space="preserve">Paszporty</t>
  </si>
  <si>
    <t xml:space="preserve">np. 1/3 — 1 z VSD na 3 sprężarki łącznie</t>
  </si>
  <si>
    <t xml:space="preserve">Czy jest sterownik nadrzędny (TAK/NIE)</t>
  </si>
  <si>
    <t xml:space="preserve">Etap 1, C-01</t>
  </si>
  <si>
    <t xml:space="preserve">Wpływ na efektywność grupową — brak = kluczowa strata</t>
  </si>
  <si>
    <t xml:space="preserve">  SEKCJA 2 — DANE ENERGETYCZNE SYSTEMU (inputy)</t>
  </si>
  <si>
    <t xml:space="preserve">E_roczna systemu CA — energia elektryczna [kWh/rok]</t>
  </si>
  <si>
    <t xml:space="preserve">kWh/rok</t>
  </si>
  <si>
    <t xml:space="preserve">Faktury / liczniki kWh</t>
  </si>
  <si>
    <t xml:space="preserve">Suma zużycia wszystkich sprężarek z faktur lub liczników — 12 miesięcy</t>
  </si>
  <si>
    <t xml:space="preserve">Q_roczna — produkcja sprężonego powietrza [Nm³/rok]</t>
  </si>
  <si>
    <t xml:space="preserve">Nm³/rok</t>
  </si>
  <si>
    <t xml:space="preserve">Przepływomierz / motogodziny</t>
  </si>
  <si>
    <t xml:space="preserve">Jeśli brak przepływomierza: Q=Nm³/min × T_dociążenie × 60</t>
  </si>
  <si>
    <t xml:space="preserve">Cena energii elektrycznej [zł/kWh]</t>
  </si>
  <si>
    <t xml:space="preserve">zł/kWh</t>
  </si>
  <si>
    <t xml:space="preserve">Faktura energii</t>
  </si>
  <si>
    <t xml:space="preserve">Średnia cena wszystkich składników (energia+dystrybucja+opłaty)</t>
  </si>
  <si>
    <t xml:space="preserve">T_total systemu (godziny pracy) [h/rok]</t>
  </si>
  <si>
    <t xml:space="preserve">h/rok</t>
  </si>
  <si>
    <t xml:space="preserve">Sterowniki sprężarek</t>
  </si>
  <si>
    <t xml:space="preserve">Czas gdy przynajmniej jedna sprężarka pracuje</t>
  </si>
  <si>
    <t xml:space="preserve">Q_weekend — zużycie weekendowe [Nm³/tydzień]</t>
  </si>
  <si>
    <t xml:space="preserve">Nm³/tydz.</t>
  </si>
  <si>
    <t xml:space="preserve">Przepływomierz / motogodziny w weekend</t>
  </si>
  <si>
    <t xml:space="preserve">Miernik wycieków: produkcja 0, sprężarnia dostarcza tylko na wycieki+bazoweużycia</t>
  </si>
  <si>
    <t xml:space="preserve">Q_produkcja_tydzień — zużycie w tygodniu produkcyjnym [Nm³/tydz.]</t>
  </si>
  <si>
    <t xml:space="preserve">Średnie tygodniowe zużycie podczas normalnej produkcji</t>
  </si>
  <si>
    <t xml:space="preserve">Wymagane ciśnienie max u odbiorców [bar(g)]</t>
  </si>
  <si>
    <t xml:space="preserve">Etap 1, E-01</t>
  </si>
  <si>
    <t xml:space="preserve">Ciśnienie wymagane przez najbardziej wymagającego odbiorcę</t>
  </si>
  <si>
    <t xml:space="preserve">  SEKCJA 3 — OBLICZENIA SYSTEMOWE (formuły Excel)</t>
  </si>
  <si>
    <t xml:space="preserve">Koszt energii CA roczny [zł/rok]</t>
  </si>
  <si>
    <t xml:space="preserve">zł/rok</t>
  </si>
  <si>
    <t xml:space="preserve">OBLICZONA</t>
  </si>
  <si>
    <t xml:space="preserve"> = E_roczna × cena_el</t>
  </si>
  <si>
    <t xml:space="preserve">EnPI systemu CA [kWh/Nm³]</t>
  </si>
  <si>
    <t xml:space="preserve">kWh/Nm³</t>
  </si>
  <si>
    <t xml:space="preserve">OBLICZONA · ISO 11011</t>
  </si>
  <si>
    <t xml:space="preserve"> = E_roczna / Q_roczna. Benchmark: &lt;0.10 dobry, 0.10-0.15 przeciętny, &gt;0.15 zły</t>
  </si>
  <si>
    <t xml:space="preserve">% wycieków systemu CA</t>
  </si>
  <si>
    <t xml:space="preserve"> = Q_weekend / Q_produkcja_tydz. Benchmark: &lt;5% OK, 5-15% poprawa, &gt;15% krytyczne</t>
  </si>
  <si>
    <t xml:space="preserve">Pasmo ciśnienia (pressure band) [bar]</t>
  </si>
  <si>
    <t xml:space="preserve">Etap 1, C-03 minus C-04</t>
  </si>
  <si>
    <t xml:space="preserve">Wpisz ręcznie lub oblicz z Etapu 1. Optimum: 0.5-0.8 bar</t>
  </si>
  <si>
    <t xml:space="preserve">Nadmiar ciśnienia vs wymagania odbiorców [bar]</t>
  </si>
  <si>
    <t xml:space="preserve"> = P_system - P_wymagane_max - 0.3 bar margines. Dodatnie = strata energii</t>
  </si>
  <si>
    <t xml:space="preserve">Strata ciśnienia w sieci dp [bar]</t>
  </si>
  <si>
    <t xml:space="preserve">Etap 1, D-04 minus D-05</t>
  </si>
  <si>
    <t xml:space="preserve">Wpisz różnicę: P_sprężarkownia - P_najdalszy_odbiorca. Norma: &lt;0.1 bar nowa inst.</t>
  </si>
  <si>
    <t xml:space="preserve">Pojemność bufora vs optymum [% optymalnego]</t>
  </si>
  <si>
    <t xml:space="preserve">Oblicz: pojemność_akt/(Q_sys×6×1000)</t>
  </si>
  <si>
    <t xml:space="preserve">Reguła: bufor = 6-10× Q_sys [Nm³/min] × 1000. &lt;60% = za mały bufor</t>
  </si>
  <si>
    <t xml:space="preserve">Potencjał odzysku ciepła ze sprężarek [kW]</t>
  </si>
  <si>
    <t xml:space="preserve">SZACUNKOWA</t>
  </si>
  <si>
    <t xml:space="preserve"> =E_roczna/T_pracy × 0.8 sprawność cieplna. Do 80% energii el. można odzyskać jako ciepło</t>
  </si>
  <si>
    <t xml:space="preserve">Wartość potencjalnego odzysku ciepła [zł/rok]</t>
  </si>
  <si>
    <t xml:space="preserve"> = moc_odzysku × T_pracy × sprawność × cena_el</t>
  </si>
  <si>
    <t xml:space="preserve">  SEKCJA 4 — WALIDACJA MODELU BOTTOM-UP  (metodologia ENESA P-EnMS-02)</t>
  </si>
  <si>
    <t xml:space="preserve">  Wzór: E_model = Σ(P_nom_i × η_doc_i × T_doc_i) + Σ(P_nom_i × η_odciąż_i × T_odciąż_i) + Σ(P_nom_i × η_weekend_i × T_weekend_i)   ·   Walidacja: |ΔE| = |E_model - E_licznik| / E_licznik × 100%. Cel: ≤ 5%</t>
  </si>
  <si>
    <t xml:space="preserve">E_model — suma modelu bottom-up ze wszystkich sprężarek [kWh/rok]</t>
  </si>
  <si>
    <t xml:space="preserve">Suma z arkuszy paszportów sprężarek</t>
  </si>
  <si>
    <t xml:space="preserve">Przepisz sumę E_roczna ze wszystkich paszportów A-EnMS-CA-01</t>
  </si>
  <si>
    <t xml:space="preserve">E_licznik — zużycie z liczników / faktur [kWh/rok]</t>
  </si>
  <si>
    <t xml:space="preserve">Faktury za energię / liczniki kWh</t>
  </si>
  <si>
    <t xml:space="preserve">Suma z faktur za 12 miesięcy lub odczyty liczników</t>
  </si>
  <si>
    <t xml:space="preserve">Odchylenie walidacyjne |ΔE| [%]</t>
  </si>
  <si>
    <t xml:space="preserve">OBLICZONA · P-EnMS-02</t>
  </si>
  <si>
    <t xml:space="preserve"> odchylenie = |E_model - E_licznik| / E_licznik × 100%</t>
  </si>
  <si>
    <t xml:space="preserve">Decyzja o modelu</t>
  </si>
  <si>
    <t xml:space="preserve">Zatwierdzony gdy Δ ≤ 5%. Sprawdź: pominięte urządzenia, błędne motogodziny, błędny % odciążenia</t>
  </si>
  <si>
    <t xml:space="preserve">  ENESA  ·  A-EnMS-CA-SYS-01  ·  ETAP 2 DTR  ·  Wersja 3.0</t>
  </si>
  <si>
    <t xml:space="preserve">PASZPORT SYSTEMU SPRĘŻONEGO POWIETRZA (CA)  ·  A-EnMS-CA-SYS-01</t>
  </si>
  <si>
    <t xml:space="preserve">System Zarządzania Energią ISO 50001  ·  ENESA sp. z o.o.  ·  Wersja 3.0</t>
  </si>
  <si>
    <t xml:space="preserve">ID SYSTEMU:</t>
  </si>
  <si>
    <t xml:space="preserve">Status paszportu:</t>
  </si>
  <si>
    <t xml:space="preserve">  1.  IDENTYFIKACJA SYSTEMU</t>
  </si>
  <si>
    <t xml:space="preserve">Zakład / Organizacja</t>
  </si>
  <si>
    <t xml:space="preserve">[z nagłówka]</t>
  </si>
  <si>
    <t xml:space="preserve">Lokalizacja sprężarkowni</t>
  </si>
  <si>
    <t xml:space="preserve">[z Etap1 A-01]</t>
  </si>
  <si>
    <t xml:space="preserve">Rok instalacji sieci CA</t>
  </si>
  <si>
    <t xml:space="preserve">[z Etap1 A-02]</t>
  </si>
  <si>
    <t xml:space="preserve">Materiał sieci rurowej</t>
  </si>
  <si>
    <t xml:space="preserve">[z Etap1 A-03]</t>
  </si>
  <si>
    <t xml:space="preserve">Sterownik nadrzędny (TAK/NIE)</t>
  </si>
  <si>
    <t xml:space="preserve">[z Etap1 C-01]</t>
  </si>
  <si>
    <t xml:space="preserve">Liczba sprężarek w systemie</t>
  </si>
  <si>
    <t xml:space="preserve">[z Etap1 B-04 / Rejestr]</t>
  </si>
  <si>
    <t xml:space="preserve">szt.</t>
  </si>
  <si>
    <t xml:space="preserve">  2.  KLUCZOWE WSKAŹNIKI EnPI SYSTEMU  ★</t>
  </si>
  <si>
    <t xml:space="preserve">Wskaźnik EnPI</t>
  </si>
  <si>
    <t xml:space="preserve">Jednostka</t>
  </si>
  <si>
    <t xml:space="preserve">Benchmark</t>
  </si>
  <si>
    <t xml:space="preserve">Klasyfikacja</t>
  </si>
  <si>
    <t xml:space="preserve">EnPI systemu CA</t>
  </si>
  <si>
    <t xml:space="preserve">[z DTR Sek.3]</t>
  </si>
  <si>
    <t xml:space="preserve">&lt;0.10 dobry · 0.10-0.15 śr. · &gt;0.15 zły</t>
  </si>
  <si>
    <t xml:space="preserve">[auto]</t>
  </si>
  <si>
    <t xml:space="preserve">% wycieków systemu</t>
  </si>
  <si>
    <t xml:space="preserve">&lt;5% OK · 5-15% poprawa · &gt;15% krytyczne</t>
  </si>
  <si>
    <t xml:space="preserve">Walidacja modelu bottom-up |ΔE|</t>
  </si>
  <si>
    <t xml:space="preserve">[z DTR Sek.4]</t>
  </si>
  <si>
    <t xml:space="preserve">≤5% zatwierdzone · ≤10% warunkowo</t>
  </si>
  <si>
    <t xml:space="preserve">Koszt energii CA roczny</t>
  </si>
  <si>
    <t xml:space="preserve">—</t>
  </si>
  <si>
    <t xml:space="preserve">Potencjał odzysku ciepła</t>
  </si>
  <si>
    <t xml:space="preserve">Nadmiar ciśnienia vs wymagania</t>
  </si>
  <si>
    <t xml:space="preserve">0 = optymalne · &gt;0.5 = strata energii</t>
  </si>
  <si>
    <t xml:space="preserve">Strata ciśnienia w sieci dp</t>
  </si>
  <si>
    <t xml:space="preserve">[z Etap1 D-04 - D-05]</t>
  </si>
  <si>
    <t xml:space="preserve">&lt;0.1 nowa inst. · &lt;0.3 akceptowalne · &gt;0.3 problem</t>
  </si>
  <si>
    <t xml:space="preserve">Pasmo ciśnienia (pressure band)</t>
  </si>
  <si>
    <t xml:space="preserve">[z Etap1 C-03 - C-04]</t>
  </si>
  <si>
    <t xml:space="preserve">0.5-0.8 optimum · &lt;0.3 zbyt wąskie</t>
  </si>
  <si>
    <t xml:space="preserve">  3.  ZESTAWIENIE SPRĘŻAREK — REJESTR</t>
  </si>
  <si>
    <t xml:space="preserve">ID QR</t>
  </si>
  <si>
    <t xml:space="preserve">Typ / Moc nom.</t>
  </si>
  <si>
    <t xml:space="preserve">E roczna
[MWh/rok]</t>
  </si>
  <si>
    <t xml:space="preserve">EnPI
[kWh/Nm³]</t>
  </si>
  <si>
    <t xml:space="preserve">Kwalif. SEU</t>
  </si>
  <si>
    <t xml:space="preserve">SPRZ-001</t>
  </si>
  <si>
    <t xml:space="preserve">[z paszportu]</t>
  </si>
  <si>
    <t xml:space="preserve">SPRZ-002</t>
  </si>
  <si>
    <t xml:space="preserve">SPRZ-003</t>
  </si>
  <si>
    <t xml:space="preserve">SPRZ-004</t>
  </si>
  <si>
    <t xml:space="preserve">SPRZ-005</t>
  </si>
  <si>
    <t xml:space="preserve">SUMA SYSTEMU</t>
  </si>
  <si>
    <t xml:space="preserve">[sumuj]</t>
  </si>
  <si>
    <t xml:space="preserve">MWh/rok</t>
  </si>
  <si>
    <t xml:space="preserve">  4.  OCENA INFRASTRUKTURY I COMPLIANCE</t>
  </si>
  <si>
    <t xml:space="preserve">Zbiorniki UDT — status przeglądów</t>
  </si>
  <si>
    <t xml:space="preserve">[z Etap1/DTR]</t>
  </si>
  <si>
    <t xml:space="preserve">✅ OK / ⚠️ Wymaga działania / ❌ Niezgodność</t>
  </si>
  <si>
    <t xml:space="preserve">Schemat P&amp;ID aktualny</t>
  </si>
  <si>
    <t xml:space="preserve">Przepływomierz CA zainstalowany</t>
  </si>
  <si>
    <t xml:space="preserve">Sterownik nadrzędny zainstalowany</t>
  </si>
  <si>
    <t xml:space="preserve">Harmonogram przeglądów udokumentowany</t>
  </si>
  <si>
    <t xml:space="preserve">Energy Baseline (EnB) ustanowiona</t>
  </si>
  <si>
    <t xml:space="preserve">  5.  ZATWIERDZENIE PASZPORTU SYSTEMU CA</t>
  </si>
  <si>
    <t xml:space="preserve">Energy Manager:</t>
  </si>
  <si>
    <t xml:space="preserve">Podpis: ________________</t>
  </si>
  <si>
    <t xml:space="preserve">Data:</t>
  </si>
  <si>
    <t xml:space="preserve">________________</t>
  </si>
  <si>
    <t xml:space="preserve">  ENESA  ·  A-EnMS-CA-SYS-01  ·  Paszport Systemu CA  ·  Wersja 3.0  ·  ISO 50001:2018 kl. 6.3</t>
  </si>
  <si>
    <t xml:space="preserve">ENESA  ·  SYSTEM PROMPT — AGENT 1 (SCOUT)  ·  SYSTEM PROMPT</t>
  </si>
  <si>
    <t xml:space="preserve">Skopiuj tekst komórki A5+ do pola System Prompt Agenta 1  ·  Mapowanie JSON: pytanie → pole bazy danych</t>
  </si>
  <si>
    <t xml:space="preserve">⚠️  INSTRUKCJA: Skopiuj tekst od wiersza 5 do końca sekcji ###DANE_KOMPLETNE### do konfiguracji Agenta 1 w aplikacji ENESA.</t>
  </si>
  <si>
    <t xml:space="preserve">── POCZĄTEK SYSTEM PROMPTU ──</t>
  </si>
  <si>
    <t xml:space="preserve">Jesteś Agentem 1 (Scout) ENESA — przeprowadzasz audyt SYSTEMU sprężonego powietrza (CA).</t>
  </si>
  <si>
    <t xml:space="preserve">Rozmawiasz z Energy Managerem lub Konsultantem ENESA — nie z pracownikiem UR.</t>
  </si>
  <si>
    <t xml:space="preserve">Twój rozmówca ma wiedzę techniczną i dostęp do sterowników, mierników i dokumentacji systemu.</t>
  </si>
  <si>
    <t xml:space="preserve"> === RÓŻNICA WOBEC PASZPORTU URZĄDZENIA ===</t>
  </si>
  <si>
    <t xml:space="preserve">Paszport urządzenia (A-EnMS-CA-01): inwentaryzacja pojedynczej sprężarki przez pracownika UR.</t>
  </si>
  <si>
    <t xml:space="preserve">Ten paszport (A-EnMS-CA-SYS-01): audyt całego systemu CA — topografia, sterowanie, sieć, odbiorniki.</t>
  </si>
  <si>
    <t xml:space="preserve">Wynik tego paszportu daje SYSTEMOWE EnPI i procent wycieków — dane do Biblioteki Reguł Diagnostycznych.</t>
  </si>
  <si>
    <t xml:space="preserve"> === PYTANIA (BLOKI A-F) ===</t>
  </si>
  <si>
    <t xml:space="preserve">Pytaj po jednym pytaniu. Czekaj na odpowiedź. Notuj wartości liczbowe.</t>
  </si>
  <si>
    <t xml:space="preserve">Jeśli rozmówca nie wie — zanotuj 'brak danych' i idź dalej.</t>
  </si>
  <si>
    <t xml:space="preserve">BLOK A — Topografia sprężarkowni (pytania A-01 do A-10):</t>
  </si>
  <si>
    <t xml:space="preserve">A-01 do A-10: pytania o lokalizację, rok instalacji, materiał sieci, wentylację sprężarkowni, odzysk ciepła.</t>
  </si>
  <si>
    <t xml:space="preserve">Dla każdego pytania z Ankiety Etap 1 — zapytaj rozmówcę bezpośrednio.</t>
  </si>
  <si>
    <t xml:space="preserve">BLOK B — Zbiorniki ciśnieniowe (B-01 do B-08):</t>
  </si>
  <si>
    <t xml:space="preserve">Kluczowe: pojemność bufora, daty UDT, odwadniacze.</t>
  </si>
  <si>
    <t xml:space="preserve">Jeśli UDT przeterminowane — zaznacz natychmiast jako PRIORYTET 1.</t>
  </si>
  <si>
    <t xml:space="preserve">BLOK C — Sterowanie (C-01 do C-08):</t>
  </si>
  <si>
    <t xml:space="preserve">★ Najważniejszy blok dla efektywności. Brak sterownika nadrzędnego przy &gt;2 sprężarkach = PRIORYTET 1.</t>
  </si>
  <si>
    <t xml:space="preserve">BLOK D — Pomiary (D-01 do D-07):</t>
  </si>
  <si>
    <t xml:space="preserve">Brak przepływomierza = niemożliwy pomiar EnPI = niezgodność ISO 50001.</t>
  </si>
  <si>
    <t xml:space="preserve">BLOK E — Odbiorniki i sieć (E-01 do E-08):</t>
  </si>
  <si>
    <t xml:space="preserve">Szukaj: wysokociśnieniowych odbiorców dyktujących nastawa systemu, odmuchów pistoletami, braku odcinania sekcji.</t>
  </si>
  <si>
    <t xml:space="preserve">BLOK F — Uzdatnianie (F-01 do F-05).</t>
  </si>
  <si>
    <t xml:space="preserve"> === PO ZAKOŃCZENIU ===</t>
  </si>
  <si>
    <t xml:space="preserve">Podsumuj zebrane dane i wpisz: ###DANE_KOMPLETNE###</t>
  </si>
  <si>
    <t xml:space="preserve"> === MAPOWANIE JSON ===</t>
  </si>
  <si>
    <t xml:space="preserve">{</t>
  </si>
  <si>
    <t xml:space="preserve">  'system_location': 'A-01',</t>
  </si>
  <si>
    <t xml:space="preserve">  'installation_year': 'A-02',</t>
  </si>
  <si>
    <t xml:space="preserve">  'pipe_material': 'A-03',</t>
  </si>
  <si>
    <t xml:space="preserve">  'has_pid_schema': 'A-04',</t>
  </si>
  <si>
    <t xml:space="preserve">  'room_temperature_summer': 'A-07',</t>
  </si>
  <si>
    <t xml:space="preserve">  'air_intake_external': 'A-08',</t>
  </si>
  <si>
    <t xml:space="preserve">  'has_heat_recovery': 'A-10',</t>
  </si>
  <si>
    <t xml:space="preserve">  'buffer_volume_l': 'B-01',</t>
  </si>
  <si>
    <t xml:space="preserve">  'udt_last_inspection': 'B-04',</t>
  </si>
  <si>
    <t xml:space="preserve">  'has_master_controller': 'C-01',</t>
  </si>
  <si>
    <t xml:space="preserve">  'master_controller_model': 'C-02',</t>
  </si>
  <si>
    <t xml:space="preserve">  'pressure_setpoint_high': 'C-03',</t>
  </si>
  <si>
    <t xml:space="preserve">  'pressure_setpoint_low': 'C-04',</t>
  </si>
  <si>
    <t xml:space="preserve">  'has_flowmeter': 'D-01',</t>
  </si>
  <si>
    <t xml:space="preserve">  'has_energy_logger': 'D-02',</t>
  </si>
  <si>
    <t xml:space="preserve">  'pressure_at_compressor': 'D-04',</t>
  </si>
  <si>
    <t xml:space="preserve">  'pressure_at_far_end': 'D-05',</t>
  </si>
  <si>
    <t xml:space="preserve">  'max_required_pressure': 'E-01',</t>
  </si>
  <si>
    <t xml:space="preserve">  'has_high_pressure_users': 'E-02',</t>
  </si>
  <si>
    <t xml:space="preserve">  'has_blow_guns': 'E-04',</t>
  </si>
  <si>
    <t xml:space="preserve">  'sections_isolated_night': 'E-06',</t>
  </si>
  <si>
    <t xml:space="preserve">  'leak_pct_estimate': 'E-08',</t>
  </si>
  <si>
    <t xml:space="preserve">  'dryer_type': 'F-01',</t>
  </si>
  <si>
    <t xml:space="preserve">  'required_dewpoint': 'F-02'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</si>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</sst>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1A3A5C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1A7A6E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1A7A6E"/>
      <name val="Arial"/>
      <family val="0"/>
      <charset val="1"/>
    </font>
    <font>
      <b val="true"/>
      <sz val="10"/>
      <color rgb="FFE87722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1A7A6E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D6E4F0"/>
        <bgColor rgb="FFD0EEEB"/>
      </patternFill>
    </fill>
    <fill>
      <patternFill patternType="solid">
        <fgColor rgb="FFFFF2CC"/>
        <bgColor rgb="FFFEF9E7"/>
      </patternFill>
    </fill>
    <fill>
      <patternFill patternType="solid">
        <fgColor rgb="FF1A7A6E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4F4F4"/>
        <bgColor rgb="FFF0F4F8"/>
      </patternFill>
    </fill>
    <fill>
      <patternFill patternType="solid">
        <fgColor rgb="FF2E6DA4"/>
        <bgColor rgb="FF1A7A6E"/>
      </patternFill>
    </fill>
    <fill>
      <patternFill patternType="solid">
        <fgColor rgb="FFE87722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6C3483"/>
        <bgColor rgb="FF993366"/>
      </patternFill>
    </fill>
    <fill>
      <patternFill patternType="solid">
        <fgColor rgb="FFD0EEEB"/>
        <bgColor rgb="FFD9F0E0"/>
      </patternFill>
    </fill>
    <fill>
      <patternFill patternType="solid">
        <fgColor rgb="FFEBF3FB"/>
        <bgColor rgb="FFF0F4F8"/>
      </patternFill>
    </fill>
    <fill>
      <patternFill patternType="solid">
        <fgColor rgb="FFF0F4F8"/>
        <bgColor rgb="FFF4F4F4"/>
      </patternFill>
    </fill>
    <fill>
      <patternFill patternType="solid">
        <fgColor rgb="FFFEF9E7"/>
        <bgColor rgb="FFF4F4F4"/>
      </patternFill>
    </fill>
    <fill>
      <patternFill patternType="solid">
        <fgColor rgb="FFD9F0E0"/>
        <bgColor rgb="FFD0EEEB"/>
      </patternFill>
    </fill>
    <fill>
      <patternFill patternType="solid">
        <fgColor rgb="FFFADBD8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7A6E"/>
      </left>
      <right style="thin">
        <color rgb="FF1A7A6E"/>
      </right>
      <top style="thin">
        <color rgb="FF1A7A6E"/>
      </top>
      <bottom style="thin">
        <color rgb="FF1A7A6E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7950B"/>
      <rgbColor rgb="FF800080"/>
      <rgbColor rgb="FF1A7A6E"/>
      <rgbColor rgb="FFCCCCCC"/>
      <rgbColor rgb="FF7F7F7F"/>
      <rgbColor rgb="FF9999FF"/>
      <rgbColor rgb="FF6C3483"/>
      <rgbColor rgb="FFFFF2CC"/>
      <rgbColor rgb="FFD0EEE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F0E0"/>
      <rgbColor rgb="FFFEF9E7"/>
      <rgbColor rgb="FFF0F4F8"/>
      <rgbColor rgb="FFF4F4F4"/>
      <rgbColor rgb="FFCC99FF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4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</row>
    <row r="4" customFormat="false" ht="19.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customFormat="false" ht="21.75" hidden="false" customHeight="true" outlineLevel="0" collapsed="false">
      <c r="A5" s="6" t="s">
        <v>10</v>
      </c>
      <c r="B5" s="6"/>
      <c r="C5" s="6"/>
      <c r="D5" s="6"/>
      <c r="E5" s="6"/>
    </row>
    <row r="6" customFormat="false" ht="31.5" hidden="false" customHeight="true" outlineLevel="0" collapsed="false">
      <c r="A6" s="7" t="s">
        <v>11</v>
      </c>
      <c r="B6" s="8" t="s">
        <v>12</v>
      </c>
      <c r="C6" s="9"/>
      <c r="D6" s="10"/>
      <c r="E6" s="11" t="s">
        <v>13</v>
      </c>
    </row>
    <row r="7" customFormat="false" ht="31.5" hidden="false" customHeight="true" outlineLevel="0" collapsed="false">
      <c r="A7" s="7" t="s">
        <v>14</v>
      </c>
      <c r="B7" s="8" t="s">
        <v>15</v>
      </c>
      <c r="C7" s="9"/>
      <c r="D7" s="10" t="s">
        <v>16</v>
      </c>
      <c r="E7" s="11" t="s">
        <v>17</v>
      </c>
    </row>
    <row r="8" customFormat="false" ht="31.5" hidden="false" customHeight="true" outlineLevel="0" collapsed="false">
      <c r="A8" s="7" t="s">
        <v>18</v>
      </c>
      <c r="B8" s="8" t="s">
        <v>19</v>
      </c>
      <c r="C8" s="9"/>
      <c r="D8" s="10"/>
      <c r="E8" s="11" t="s">
        <v>20</v>
      </c>
    </row>
    <row r="9" customFormat="false" ht="31.5" hidden="false" customHeight="true" outlineLevel="0" collapsed="false">
      <c r="A9" s="7" t="s">
        <v>21</v>
      </c>
      <c r="B9" s="8" t="s">
        <v>22</v>
      </c>
      <c r="C9" s="9"/>
      <c r="D9" s="10"/>
      <c r="E9" s="11" t="s">
        <v>23</v>
      </c>
    </row>
    <row r="10" customFormat="false" ht="31.5" hidden="false" customHeight="true" outlineLevel="0" collapsed="false">
      <c r="A10" s="7" t="s">
        <v>24</v>
      </c>
      <c r="B10" s="8" t="s">
        <v>25</v>
      </c>
      <c r="C10" s="9"/>
      <c r="D10" s="10"/>
      <c r="E10" s="11" t="s">
        <v>26</v>
      </c>
    </row>
    <row r="11" customFormat="false" ht="31.5" hidden="false" customHeight="true" outlineLevel="0" collapsed="false">
      <c r="A11" s="7" t="s">
        <v>27</v>
      </c>
      <c r="B11" s="8" t="s">
        <v>28</v>
      </c>
      <c r="C11" s="9"/>
      <c r="D11" s="10"/>
      <c r="E11" s="11" t="s">
        <v>29</v>
      </c>
    </row>
    <row r="12" customFormat="false" ht="31.5" hidden="false" customHeight="true" outlineLevel="0" collapsed="false">
      <c r="A12" s="7" t="s">
        <v>30</v>
      </c>
      <c r="B12" s="8" t="s">
        <v>31</v>
      </c>
      <c r="C12" s="9"/>
      <c r="D12" s="10" t="s">
        <v>32</v>
      </c>
      <c r="E12" s="11" t="s">
        <v>33</v>
      </c>
    </row>
    <row r="13" customFormat="false" ht="31.5" hidden="false" customHeight="true" outlineLevel="0" collapsed="false">
      <c r="A13" s="7" t="s">
        <v>34</v>
      </c>
      <c r="B13" s="8" t="s">
        <v>35</v>
      </c>
      <c r="C13" s="9"/>
      <c r="D13" s="10"/>
      <c r="E13" s="11" t="s">
        <v>36</v>
      </c>
    </row>
    <row r="14" customFormat="false" ht="31.5" hidden="false" customHeight="true" outlineLevel="0" collapsed="false">
      <c r="A14" s="7" t="s">
        <v>37</v>
      </c>
      <c r="B14" s="8" t="s">
        <v>38</v>
      </c>
      <c r="C14" s="9"/>
      <c r="D14" s="10" t="s">
        <v>32</v>
      </c>
      <c r="E14" s="11" t="s">
        <v>39</v>
      </c>
    </row>
    <row r="15" customFormat="false" ht="31.5" hidden="false" customHeight="true" outlineLevel="0" collapsed="false">
      <c r="A15" s="7" t="s">
        <v>40</v>
      </c>
      <c r="B15" s="8" t="s">
        <v>41</v>
      </c>
      <c r="C15" s="9"/>
      <c r="D15" s="10"/>
      <c r="E15" s="11" t="s">
        <v>42</v>
      </c>
    </row>
    <row r="16" customFormat="false" ht="21.75" hidden="false" customHeight="true" outlineLevel="0" collapsed="false">
      <c r="A16" s="12" t="s">
        <v>43</v>
      </c>
      <c r="B16" s="12"/>
      <c r="C16" s="12"/>
      <c r="D16" s="12"/>
      <c r="E16" s="12"/>
    </row>
    <row r="17" customFormat="false" ht="31.5" hidden="false" customHeight="true" outlineLevel="0" collapsed="false">
      <c r="A17" s="7" t="s">
        <v>44</v>
      </c>
      <c r="B17" s="8" t="s">
        <v>45</v>
      </c>
      <c r="C17" s="9"/>
      <c r="D17" s="10" t="s">
        <v>46</v>
      </c>
      <c r="E17" s="11" t="s">
        <v>47</v>
      </c>
    </row>
    <row r="18" customFormat="false" ht="31.5" hidden="false" customHeight="true" outlineLevel="0" collapsed="false">
      <c r="A18" s="7" t="s">
        <v>48</v>
      </c>
      <c r="B18" s="8" t="s">
        <v>49</v>
      </c>
      <c r="C18" s="9"/>
      <c r="D18" s="10" t="s">
        <v>16</v>
      </c>
      <c r="E18" s="11" t="s">
        <v>50</v>
      </c>
    </row>
    <row r="19" customFormat="false" ht="31.5" hidden="false" customHeight="true" outlineLevel="0" collapsed="false">
      <c r="A19" s="7" t="s">
        <v>51</v>
      </c>
      <c r="B19" s="8" t="s">
        <v>52</v>
      </c>
      <c r="C19" s="9"/>
      <c r="D19" s="10"/>
      <c r="E19" s="11" t="s">
        <v>53</v>
      </c>
    </row>
    <row r="20" customFormat="false" ht="31.5" hidden="false" customHeight="true" outlineLevel="0" collapsed="false">
      <c r="A20" s="7" t="s">
        <v>54</v>
      </c>
      <c r="B20" s="8" t="s">
        <v>55</v>
      </c>
      <c r="C20" s="9"/>
      <c r="D20" s="10"/>
      <c r="E20" s="11" t="s">
        <v>56</v>
      </c>
    </row>
    <row r="21" customFormat="false" ht="31.5" hidden="false" customHeight="true" outlineLevel="0" collapsed="false">
      <c r="A21" s="7" t="s">
        <v>57</v>
      </c>
      <c r="B21" s="8" t="s">
        <v>58</v>
      </c>
      <c r="C21" s="9"/>
      <c r="D21" s="10"/>
      <c r="E21" s="11" t="s">
        <v>59</v>
      </c>
    </row>
    <row r="22" customFormat="false" ht="31.5" hidden="false" customHeight="true" outlineLevel="0" collapsed="false">
      <c r="A22" s="7" t="s">
        <v>60</v>
      </c>
      <c r="B22" s="8" t="s">
        <v>61</v>
      </c>
      <c r="C22" s="9"/>
      <c r="D22" s="10" t="s">
        <v>46</v>
      </c>
      <c r="E22" s="11" t="s">
        <v>62</v>
      </c>
    </row>
    <row r="23" customFormat="false" ht="31.5" hidden="false" customHeight="true" outlineLevel="0" collapsed="false">
      <c r="A23" s="7" t="s">
        <v>63</v>
      </c>
      <c r="B23" s="8" t="s">
        <v>64</v>
      </c>
      <c r="C23" s="9"/>
      <c r="D23" s="10"/>
      <c r="E23" s="11" t="s">
        <v>65</v>
      </c>
    </row>
    <row r="24" customFormat="false" ht="31.5" hidden="false" customHeight="true" outlineLevel="0" collapsed="false">
      <c r="A24" s="7" t="s">
        <v>66</v>
      </c>
      <c r="B24" s="8" t="s">
        <v>67</v>
      </c>
      <c r="C24" s="9"/>
      <c r="D24" s="10"/>
      <c r="E24" s="11" t="s">
        <v>68</v>
      </c>
    </row>
    <row r="25" customFormat="false" ht="21.75" hidden="false" customHeight="true" outlineLevel="0" collapsed="false">
      <c r="A25" s="13" t="s">
        <v>69</v>
      </c>
      <c r="B25" s="13"/>
      <c r="C25" s="13"/>
      <c r="D25" s="13"/>
      <c r="E25" s="13"/>
    </row>
    <row r="26" customFormat="false" ht="31.5" hidden="false" customHeight="true" outlineLevel="0" collapsed="false">
      <c r="A26" s="7" t="s">
        <v>70</v>
      </c>
      <c r="B26" s="8" t="s">
        <v>71</v>
      </c>
      <c r="C26" s="9"/>
      <c r="D26" s="10"/>
      <c r="E26" s="11" t="s">
        <v>72</v>
      </c>
    </row>
    <row r="27" customFormat="false" ht="31.5" hidden="false" customHeight="true" outlineLevel="0" collapsed="false">
      <c r="A27" s="7" t="s">
        <v>73</v>
      </c>
      <c r="B27" s="8" t="s">
        <v>74</v>
      </c>
      <c r="C27" s="9"/>
      <c r="D27" s="10"/>
      <c r="E27" s="11" t="s">
        <v>75</v>
      </c>
    </row>
    <row r="28" customFormat="false" ht="31.5" hidden="false" customHeight="true" outlineLevel="0" collapsed="false">
      <c r="A28" s="7" t="s">
        <v>76</v>
      </c>
      <c r="B28" s="8" t="s">
        <v>77</v>
      </c>
      <c r="C28" s="9"/>
      <c r="D28" s="10" t="s">
        <v>78</v>
      </c>
      <c r="E28" s="11" t="s">
        <v>79</v>
      </c>
    </row>
    <row r="29" customFormat="false" ht="31.5" hidden="false" customHeight="true" outlineLevel="0" collapsed="false">
      <c r="A29" s="7" t="s">
        <v>80</v>
      </c>
      <c r="B29" s="8" t="s">
        <v>81</v>
      </c>
      <c r="C29" s="9"/>
      <c r="D29" s="10" t="s">
        <v>78</v>
      </c>
      <c r="E29" s="11" t="s">
        <v>82</v>
      </c>
    </row>
    <row r="30" customFormat="false" ht="31.5" hidden="false" customHeight="true" outlineLevel="0" collapsed="false">
      <c r="A30" s="7" t="s">
        <v>83</v>
      </c>
      <c r="B30" s="8" t="s">
        <v>84</v>
      </c>
      <c r="C30" s="9"/>
      <c r="D30" s="10"/>
      <c r="E30" s="11" t="s">
        <v>85</v>
      </c>
    </row>
    <row r="31" customFormat="false" ht="31.5" hidden="false" customHeight="true" outlineLevel="0" collapsed="false">
      <c r="A31" s="7" t="s">
        <v>86</v>
      </c>
      <c r="B31" s="8" t="s">
        <v>87</v>
      </c>
      <c r="C31" s="9"/>
      <c r="D31" s="10" t="s">
        <v>78</v>
      </c>
      <c r="E31" s="11" t="s">
        <v>88</v>
      </c>
    </row>
    <row r="32" customFormat="false" ht="31.5" hidden="false" customHeight="true" outlineLevel="0" collapsed="false">
      <c r="A32" s="7" t="s">
        <v>89</v>
      </c>
      <c r="B32" s="8" t="s">
        <v>90</v>
      </c>
      <c r="C32" s="9"/>
      <c r="D32" s="10"/>
      <c r="E32" s="11" t="s">
        <v>91</v>
      </c>
    </row>
    <row r="33" customFormat="false" ht="31.5" hidden="false" customHeight="true" outlineLevel="0" collapsed="false">
      <c r="A33" s="7" t="s">
        <v>92</v>
      </c>
      <c r="B33" s="8" t="s">
        <v>93</v>
      </c>
      <c r="C33" s="9"/>
      <c r="D33" s="10"/>
      <c r="E33" s="11" t="s">
        <v>94</v>
      </c>
    </row>
    <row r="34" customFormat="false" ht="21.75" hidden="false" customHeight="true" outlineLevel="0" collapsed="false">
      <c r="A34" s="14" t="s">
        <v>95</v>
      </c>
      <c r="B34" s="14"/>
      <c r="C34" s="14"/>
      <c r="D34" s="14"/>
      <c r="E34" s="14"/>
    </row>
    <row r="35" customFormat="false" ht="31.5" hidden="false" customHeight="true" outlineLevel="0" collapsed="false">
      <c r="A35" s="7" t="s">
        <v>96</v>
      </c>
      <c r="B35" s="8" t="s">
        <v>97</v>
      </c>
      <c r="C35" s="9"/>
      <c r="D35" s="10"/>
      <c r="E35" s="11" t="s">
        <v>98</v>
      </c>
    </row>
    <row r="36" customFormat="false" ht="31.5" hidden="false" customHeight="true" outlineLevel="0" collapsed="false">
      <c r="A36" s="7" t="s">
        <v>99</v>
      </c>
      <c r="B36" s="8" t="s">
        <v>100</v>
      </c>
      <c r="C36" s="9"/>
      <c r="D36" s="10"/>
      <c r="E36" s="11" t="s">
        <v>101</v>
      </c>
    </row>
    <row r="37" customFormat="false" ht="31.5" hidden="false" customHeight="true" outlineLevel="0" collapsed="false">
      <c r="A37" s="7" t="s">
        <v>102</v>
      </c>
      <c r="B37" s="8" t="s">
        <v>103</v>
      </c>
      <c r="C37" s="9"/>
      <c r="D37" s="10"/>
      <c r="E37" s="11" t="s">
        <v>104</v>
      </c>
    </row>
    <row r="38" customFormat="false" ht="31.5" hidden="false" customHeight="true" outlineLevel="0" collapsed="false">
      <c r="A38" s="7" t="s">
        <v>105</v>
      </c>
      <c r="B38" s="8" t="s">
        <v>106</v>
      </c>
      <c r="C38" s="9"/>
      <c r="D38" s="10" t="s">
        <v>78</v>
      </c>
      <c r="E38" s="11" t="s">
        <v>107</v>
      </c>
    </row>
    <row r="39" customFormat="false" ht="31.5" hidden="false" customHeight="true" outlineLevel="0" collapsed="false">
      <c r="A39" s="7" t="s">
        <v>108</v>
      </c>
      <c r="B39" s="8" t="s">
        <v>109</v>
      </c>
      <c r="C39" s="9"/>
      <c r="D39" s="10" t="s">
        <v>78</v>
      </c>
      <c r="E39" s="11" t="s">
        <v>110</v>
      </c>
    </row>
    <row r="40" customFormat="false" ht="31.5" hidden="false" customHeight="true" outlineLevel="0" collapsed="false">
      <c r="A40" s="7" t="s">
        <v>111</v>
      </c>
      <c r="B40" s="8" t="s">
        <v>112</v>
      </c>
      <c r="C40" s="9"/>
      <c r="D40" s="10"/>
      <c r="E40" s="11" t="s">
        <v>113</v>
      </c>
    </row>
    <row r="41" customFormat="false" ht="31.5" hidden="false" customHeight="true" outlineLevel="0" collapsed="false">
      <c r="A41" s="7" t="s">
        <v>114</v>
      </c>
      <c r="B41" s="8" t="s">
        <v>115</v>
      </c>
      <c r="C41" s="9"/>
      <c r="D41" s="10" t="s">
        <v>32</v>
      </c>
      <c r="E41" s="11" t="s">
        <v>116</v>
      </c>
    </row>
    <row r="42" customFormat="false" ht="21.75" hidden="false" customHeight="true" outlineLevel="0" collapsed="false">
      <c r="A42" s="15" t="s">
        <v>117</v>
      </c>
      <c r="B42" s="15"/>
      <c r="C42" s="15"/>
      <c r="D42" s="15"/>
      <c r="E42" s="15"/>
    </row>
    <row r="43" customFormat="false" ht="31.5" hidden="false" customHeight="true" outlineLevel="0" collapsed="false">
      <c r="A43" s="7" t="s">
        <v>118</v>
      </c>
      <c r="B43" s="8" t="s">
        <v>119</v>
      </c>
      <c r="C43" s="9"/>
      <c r="D43" s="10" t="s">
        <v>78</v>
      </c>
      <c r="E43" s="11" t="s">
        <v>120</v>
      </c>
    </row>
    <row r="44" customFormat="false" ht="31.5" hidden="false" customHeight="true" outlineLevel="0" collapsed="false">
      <c r="A44" s="7" t="s">
        <v>121</v>
      </c>
      <c r="B44" s="8" t="s">
        <v>122</v>
      </c>
      <c r="C44" s="9"/>
      <c r="D44" s="10"/>
      <c r="E44" s="11" t="s">
        <v>123</v>
      </c>
    </row>
    <row r="45" customFormat="false" ht="31.5" hidden="false" customHeight="true" outlineLevel="0" collapsed="false">
      <c r="A45" s="7" t="s">
        <v>124</v>
      </c>
      <c r="B45" s="8" t="s">
        <v>125</v>
      </c>
      <c r="C45" s="9"/>
      <c r="D45" s="10"/>
      <c r="E45" s="11" t="s">
        <v>126</v>
      </c>
    </row>
    <row r="46" customFormat="false" ht="31.5" hidden="false" customHeight="true" outlineLevel="0" collapsed="false">
      <c r="A46" s="7" t="s">
        <v>127</v>
      </c>
      <c r="B46" s="8" t="s">
        <v>128</v>
      </c>
      <c r="C46" s="9"/>
      <c r="D46" s="10"/>
      <c r="E46" s="11" t="s">
        <v>129</v>
      </c>
    </row>
    <row r="47" customFormat="false" ht="31.5" hidden="false" customHeight="true" outlineLevel="0" collapsed="false">
      <c r="A47" s="7" t="s">
        <v>130</v>
      </c>
      <c r="B47" s="8" t="s">
        <v>131</v>
      </c>
      <c r="C47" s="9"/>
      <c r="D47" s="10"/>
      <c r="E47" s="11" t="s">
        <v>132</v>
      </c>
    </row>
    <row r="48" customFormat="false" ht="31.5" hidden="false" customHeight="true" outlineLevel="0" collapsed="false">
      <c r="A48" s="7" t="s">
        <v>133</v>
      </c>
      <c r="B48" s="8" t="s">
        <v>134</v>
      </c>
      <c r="C48" s="9"/>
      <c r="D48" s="10"/>
      <c r="E48" s="11" t="s">
        <v>135</v>
      </c>
    </row>
    <row r="49" customFormat="false" ht="31.5" hidden="false" customHeight="true" outlineLevel="0" collapsed="false">
      <c r="A49" s="7" t="s">
        <v>136</v>
      </c>
      <c r="B49" s="8" t="s">
        <v>137</v>
      </c>
      <c r="C49" s="9"/>
      <c r="D49" s="10"/>
      <c r="E49" s="11" t="s">
        <v>138</v>
      </c>
    </row>
    <row r="50" customFormat="false" ht="31.5" hidden="false" customHeight="true" outlineLevel="0" collapsed="false">
      <c r="A50" s="7" t="s">
        <v>139</v>
      </c>
      <c r="B50" s="8" t="s">
        <v>140</v>
      </c>
      <c r="C50" s="9"/>
      <c r="D50" s="10" t="s">
        <v>141</v>
      </c>
      <c r="E50" s="11" t="s">
        <v>142</v>
      </c>
    </row>
    <row r="51" customFormat="false" ht="21.75" hidden="false" customHeight="true" outlineLevel="0" collapsed="false">
      <c r="A51" s="16" t="s">
        <v>143</v>
      </c>
      <c r="B51" s="16"/>
      <c r="C51" s="16"/>
      <c r="D51" s="16"/>
      <c r="E51" s="16"/>
    </row>
    <row r="52" customFormat="false" ht="31.5" hidden="false" customHeight="true" outlineLevel="0" collapsed="false">
      <c r="A52" s="7" t="s">
        <v>144</v>
      </c>
      <c r="B52" s="8" t="s">
        <v>145</v>
      </c>
      <c r="C52" s="9"/>
      <c r="D52" s="10"/>
      <c r="E52" s="11" t="s">
        <v>146</v>
      </c>
    </row>
    <row r="53" customFormat="false" ht="31.5" hidden="false" customHeight="true" outlineLevel="0" collapsed="false">
      <c r="A53" s="7" t="s">
        <v>147</v>
      </c>
      <c r="B53" s="8" t="s">
        <v>148</v>
      </c>
      <c r="C53" s="9"/>
      <c r="D53" s="10" t="s">
        <v>32</v>
      </c>
      <c r="E53" s="11" t="s">
        <v>149</v>
      </c>
    </row>
    <row r="54" customFormat="false" ht="31.5" hidden="false" customHeight="true" outlineLevel="0" collapsed="false">
      <c r="A54" s="7" t="s">
        <v>150</v>
      </c>
      <c r="B54" s="8" t="s">
        <v>151</v>
      </c>
      <c r="C54" s="9"/>
      <c r="D54" s="10"/>
      <c r="E54" s="11" t="s">
        <v>152</v>
      </c>
    </row>
    <row r="55" customFormat="false" ht="31.5" hidden="false" customHeight="true" outlineLevel="0" collapsed="false">
      <c r="A55" s="7" t="s">
        <v>153</v>
      </c>
      <c r="B55" s="8" t="s">
        <v>154</v>
      </c>
      <c r="C55" s="9"/>
      <c r="D55" s="10"/>
      <c r="E55" s="11" t="s">
        <v>155</v>
      </c>
    </row>
    <row r="56" customFormat="false" ht="31.5" hidden="false" customHeight="true" outlineLevel="0" collapsed="false">
      <c r="A56" s="7" t="s">
        <v>156</v>
      </c>
      <c r="B56" s="8" t="s">
        <v>157</v>
      </c>
      <c r="C56" s="9"/>
      <c r="D56" s="10"/>
      <c r="E56" s="11" t="s">
        <v>158</v>
      </c>
    </row>
    <row r="57" customFormat="false" ht="13.5" hidden="false" customHeight="true" outlineLevel="0" collapsed="false">
      <c r="A57" s="17" t="s">
        <v>159</v>
      </c>
      <c r="B57" s="17"/>
      <c r="C57" s="17"/>
      <c r="D57" s="17"/>
      <c r="E57" s="17"/>
    </row>
  </sheetData>
  <mergeCells count="9">
    <mergeCell ref="A1:E1"/>
    <mergeCell ref="A2:E2"/>
    <mergeCell ref="A5:E5"/>
    <mergeCell ref="A16:E16"/>
    <mergeCell ref="A25:E25"/>
    <mergeCell ref="A34:E34"/>
    <mergeCell ref="A42:E42"/>
    <mergeCell ref="A51:E51"/>
    <mergeCell ref="A57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42" hidden="false" customHeight="true" outlineLevel="0" collapsed="false">
      <c r="A1" s="18" t="s">
        <v>160</v>
      </c>
      <c r="B1" s="18"/>
      <c r="C1" s="18"/>
      <c r="D1" s="18"/>
      <c r="E1" s="18"/>
    </row>
    <row r="2" customFormat="false" ht="15.75" hidden="false" customHeight="true" outlineLevel="0" collapsed="false">
      <c r="A2" s="19" t="s">
        <v>161</v>
      </c>
      <c r="B2" s="19"/>
      <c r="C2" s="19"/>
      <c r="D2" s="19"/>
      <c r="E2" s="19"/>
    </row>
    <row r="3" customFormat="false" ht="19.5" hidden="false" customHeight="true" outlineLevel="0" collapsed="false">
      <c r="A3" s="5" t="s">
        <v>162</v>
      </c>
      <c r="B3" s="5" t="s">
        <v>163</v>
      </c>
      <c r="C3" s="5" t="s">
        <v>8</v>
      </c>
      <c r="D3" s="5" t="s">
        <v>164</v>
      </c>
      <c r="E3" s="5" t="s">
        <v>165</v>
      </c>
    </row>
    <row r="4" customFormat="false" ht="21.75" hidden="false" customHeight="true" outlineLevel="0" collapsed="false">
      <c r="A4" s="6" t="s">
        <v>166</v>
      </c>
      <c r="B4" s="6"/>
      <c r="C4" s="6"/>
      <c r="D4" s="6"/>
      <c r="E4" s="6"/>
    </row>
    <row r="5" customFormat="false" ht="27.75" hidden="false" customHeight="true" outlineLevel="0" collapsed="false">
      <c r="A5" s="8" t="s">
        <v>167</v>
      </c>
      <c r="B5" s="20"/>
      <c r="C5" s="10" t="s">
        <v>168</v>
      </c>
      <c r="D5" s="21" t="s">
        <v>169</v>
      </c>
      <c r="E5" s="11" t="s">
        <v>170</v>
      </c>
    </row>
    <row r="6" customFormat="false" ht="27.75" hidden="false" customHeight="true" outlineLevel="0" collapsed="false">
      <c r="A6" s="8" t="s">
        <v>171</v>
      </c>
      <c r="B6" s="20"/>
      <c r="C6" s="10" t="s">
        <v>168</v>
      </c>
      <c r="D6" s="21" t="s">
        <v>172</v>
      </c>
      <c r="E6" s="11" t="s">
        <v>173</v>
      </c>
    </row>
    <row r="7" customFormat="false" ht="27.75" hidden="false" customHeight="true" outlineLevel="0" collapsed="false">
      <c r="A7" s="8" t="s">
        <v>174</v>
      </c>
      <c r="B7" s="20"/>
      <c r="C7" s="10" t="s">
        <v>175</v>
      </c>
      <c r="D7" s="21" t="s">
        <v>176</v>
      </c>
      <c r="E7" s="11" t="s">
        <v>177</v>
      </c>
    </row>
    <row r="8" customFormat="false" ht="27.75" hidden="false" customHeight="true" outlineLevel="0" collapsed="false">
      <c r="A8" s="8" t="s">
        <v>178</v>
      </c>
      <c r="B8" s="20"/>
      <c r="C8" s="10"/>
      <c r="D8" s="21" t="s">
        <v>179</v>
      </c>
      <c r="E8" s="11" t="s">
        <v>180</v>
      </c>
    </row>
    <row r="9" customFormat="false" ht="27.75" hidden="false" customHeight="true" outlineLevel="0" collapsed="false">
      <c r="A9" s="8" t="s">
        <v>181</v>
      </c>
      <c r="B9" s="20"/>
      <c r="C9" s="10"/>
      <c r="D9" s="21" t="s">
        <v>182</v>
      </c>
      <c r="E9" s="11" t="s">
        <v>183</v>
      </c>
    </row>
    <row r="10" customFormat="false" ht="21.75" hidden="false" customHeight="true" outlineLevel="0" collapsed="false">
      <c r="A10" s="12" t="s">
        <v>184</v>
      </c>
      <c r="B10" s="12"/>
      <c r="C10" s="12"/>
      <c r="D10" s="12"/>
      <c r="E10" s="12"/>
    </row>
    <row r="11" customFormat="false" ht="27.75" hidden="false" customHeight="true" outlineLevel="0" collapsed="false">
      <c r="A11" s="8" t="s">
        <v>185</v>
      </c>
      <c r="B11" s="20"/>
      <c r="C11" s="10" t="s">
        <v>186</v>
      </c>
      <c r="D11" s="21" t="s">
        <v>187</v>
      </c>
      <c r="E11" s="11" t="s">
        <v>188</v>
      </c>
    </row>
    <row r="12" customFormat="false" ht="27.75" hidden="false" customHeight="true" outlineLevel="0" collapsed="false">
      <c r="A12" s="8" t="s">
        <v>189</v>
      </c>
      <c r="B12" s="20"/>
      <c r="C12" s="10" t="s">
        <v>190</v>
      </c>
      <c r="D12" s="21" t="s">
        <v>191</v>
      </c>
      <c r="E12" s="11" t="s">
        <v>192</v>
      </c>
    </row>
    <row r="13" customFormat="false" ht="27.75" hidden="false" customHeight="true" outlineLevel="0" collapsed="false">
      <c r="A13" s="8" t="s">
        <v>193</v>
      </c>
      <c r="B13" s="20"/>
      <c r="C13" s="10" t="s">
        <v>194</v>
      </c>
      <c r="D13" s="21" t="s">
        <v>195</v>
      </c>
      <c r="E13" s="11" t="s">
        <v>196</v>
      </c>
    </row>
    <row r="14" customFormat="false" ht="27.75" hidden="false" customHeight="true" outlineLevel="0" collapsed="false">
      <c r="A14" s="8" t="s">
        <v>197</v>
      </c>
      <c r="B14" s="20"/>
      <c r="C14" s="10" t="s">
        <v>198</v>
      </c>
      <c r="D14" s="21" t="s">
        <v>199</v>
      </c>
      <c r="E14" s="11" t="s">
        <v>200</v>
      </c>
    </row>
    <row r="15" customFormat="false" ht="27.75" hidden="false" customHeight="true" outlineLevel="0" collapsed="false">
      <c r="A15" s="8" t="s">
        <v>201</v>
      </c>
      <c r="B15" s="20"/>
      <c r="C15" s="10" t="s">
        <v>202</v>
      </c>
      <c r="D15" s="21" t="s">
        <v>203</v>
      </c>
      <c r="E15" s="11" t="s">
        <v>204</v>
      </c>
    </row>
    <row r="16" customFormat="false" ht="27.75" hidden="false" customHeight="true" outlineLevel="0" collapsed="false">
      <c r="A16" s="8" t="s">
        <v>205</v>
      </c>
      <c r="B16" s="20"/>
      <c r="C16" s="10" t="s">
        <v>202</v>
      </c>
      <c r="D16" s="21" t="s">
        <v>191</v>
      </c>
      <c r="E16" s="11" t="s">
        <v>206</v>
      </c>
    </row>
    <row r="17" customFormat="false" ht="27.75" hidden="false" customHeight="true" outlineLevel="0" collapsed="false">
      <c r="A17" s="8" t="s">
        <v>207</v>
      </c>
      <c r="B17" s="20"/>
      <c r="C17" s="10" t="s">
        <v>78</v>
      </c>
      <c r="D17" s="21" t="s">
        <v>208</v>
      </c>
      <c r="E17" s="11" t="s">
        <v>209</v>
      </c>
    </row>
    <row r="18" customFormat="false" ht="21.75" hidden="false" customHeight="true" outlineLevel="0" collapsed="false">
      <c r="A18" s="13" t="s">
        <v>210</v>
      </c>
      <c r="B18" s="13"/>
      <c r="C18" s="13"/>
      <c r="D18" s="13"/>
      <c r="E18" s="13"/>
    </row>
    <row r="19" customFormat="false" ht="27.75" hidden="false" customHeight="true" outlineLevel="0" collapsed="false">
      <c r="A19" s="8" t="s">
        <v>211</v>
      </c>
      <c r="B19" s="22" t="str">
        <f aca="false">IF(AND(B11&lt;&gt;"",B13&lt;&gt;""),B11*B13,"")</f>
        <v/>
      </c>
      <c r="C19" s="10" t="s">
        <v>212</v>
      </c>
      <c r="D19" s="21" t="s">
        <v>213</v>
      </c>
      <c r="E19" s="11" t="s">
        <v>214</v>
      </c>
    </row>
    <row r="20" customFormat="false" ht="27.75" hidden="false" customHeight="true" outlineLevel="0" collapsed="false">
      <c r="A20" s="8" t="s">
        <v>215</v>
      </c>
      <c r="B20" s="22" t="str">
        <f aca="false">IF(AND(B11&lt;&gt;"",B12&lt;&gt;"",B12&gt;0),B11/B12,"")</f>
        <v/>
      </c>
      <c r="C20" s="10" t="s">
        <v>216</v>
      </c>
      <c r="D20" s="21" t="s">
        <v>217</v>
      </c>
      <c r="E20" s="11" t="s">
        <v>218</v>
      </c>
    </row>
    <row r="21" customFormat="false" ht="27.75" hidden="false" customHeight="true" outlineLevel="0" collapsed="false">
      <c r="A21" s="8" t="s">
        <v>219</v>
      </c>
      <c r="B21" s="22" t="str">
        <f aca="false">IF(AND(B15&lt;&gt;"",B16&lt;&gt;"",B16&gt;0),B15/B16,"")</f>
        <v/>
      </c>
      <c r="C21" s="10" t="s">
        <v>141</v>
      </c>
      <c r="D21" s="21" t="s">
        <v>213</v>
      </c>
      <c r="E21" s="11" t="s">
        <v>220</v>
      </c>
    </row>
    <row r="22" customFormat="false" ht="27.75" hidden="false" customHeight="true" outlineLevel="0" collapsed="false">
      <c r="A22" s="8" t="s">
        <v>221</v>
      </c>
      <c r="B22" s="20"/>
      <c r="C22" s="10" t="s">
        <v>78</v>
      </c>
      <c r="D22" s="21" t="s">
        <v>222</v>
      </c>
      <c r="E22" s="11" t="s">
        <v>223</v>
      </c>
    </row>
    <row r="23" customFormat="false" ht="27.75" hidden="false" customHeight="true" outlineLevel="0" collapsed="false">
      <c r="A23" s="8" t="s">
        <v>224</v>
      </c>
      <c r="B23" s="22" t="str">
        <f aca="false">IF(AND(B17&lt;&gt;"",B15&lt;&gt;""),B15-B17-0.3,"")</f>
        <v/>
      </c>
      <c r="C23" s="10" t="s">
        <v>78</v>
      </c>
      <c r="D23" s="21" t="s">
        <v>213</v>
      </c>
      <c r="E23" s="11" t="s">
        <v>225</v>
      </c>
    </row>
    <row r="24" customFormat="false" ht="27.75" hidden="false" customHeight="true" outlineLevel="0" collapsed="false">
      <c r="A24" s="8" t="s">
        <v>226</v>
      </c>
      <c r="B24" s="20"/>
      <c r="C24" s="10" t="s">
        <v>78</v>
      </c>
      <c r="D24" s="21" t="s">
        <v>227</v>
      </c>
      <c r="E24" s="11" t="s">
        <v>228</v>
      </c>
    </row>
    <row r="25" customFormat="false" ht="27.75" hidden="false" customHeight="true" outlineLevel="0" collapsed="false">
      <c r="A25" s="8" t="s">
        <v>229</v>
      </c>
      <c r="B25" s="20"/>
      <c r="C25" s="10"/>
      <c r="D25" s="21" t="s">
        <v>230</v>
      </c>
      <c r="E25" s="11" t="s">
        <v>231</v>
      </c>
    </row>
    <row r="26" customFormat="false" ht="27.75" hidden="false" customHeight="true" outlineLevel="0" collapsed="false">
      <c r="A26" s="8" t="s">
        <v>232</v>
      </c>
      <c r="B26" s="22" t="str">
        <f aca="false">IF(B11&lt;&gt;"",B11/B14*0.8*0.8,"")</f>
        <v/>
      </c>
      <c r="C26" s="10" t="s">
        <v>168</v>
      </c>
      <c r="D26" s="21" t="s">
        <v>233</v>
      </c>
      <c r="E26" s="11" t="s">
        <v>234</v>
      </c>
    </row>
    <row r="27" customFormat="false" ht="27.75" hidden="false" customHeight="true" outlineLevel="0" collapsed="false">
      <c r="A27" s="8" t="s">
        <v>235</v>
      </c>
      <c r="B27" s="22" t="str">
        <f aca="false">IF(AND(B19&lt;&gt;"",B14&lt;&gt;"",B14&gt;0,B13&lt;&gt;""),B19*B14*0.8*B13,"")</f>
        <v/>
      </c>
      <c r="C27" s="10" t="s">
        <v>212</v>
      </c>
      <c r="D27" s="21" t="s">
        <v>213</v>
      </c>
      <c r="E27" s="11" t="s">
        <v>236</v>
      </c>
    </row>
    <row r="28" customFormat="false" ht="21.75" hidden="false" customHeight="true" outlineLevel="0" collapsed="false">
      <c r="A28" s="14" t="s">
        <v>237</v>
      </c>
      <c r="B28" s="14"/>
      <c r="C28" s="14"/>
      <c r="D28" s="14"/>
      <c r="E28" s="14"/>
    </row>
    <row r="29" customFormat="false" ht="27.75" hidden="false" customHeight="true" outlineLevel="0" collapsed="false">
      <c r="A29" s="23" t="s">
        <v>238</v>
      </c>
      <c r="B29" s="23"/>
      <c r="C29" s="23"/>
      <c r="D29" s="23"/>
      <c r="E29" s="23"/>
    </row>
    <row r="30" customFormat="false" ht="27.75" hidden="false" customHeight="true" outlineLevel="0" collapsed="false">
      <c r="A30" s="8" t="s">
        <v>239</v>
      </c>
      <c r="B30" s="20"/>
      <c r="C30" s="10" t="s">
        <v>186</v>
      </c>
      <c r="D30" s="21" t="s">
        <v>240</v>
      </c>
      <c r="E30" s="11" t="s">
        <v>241</v>
      </c>
    </row>
    <row r="31" customFormat="false" ht="27.75" hidden="false" customHeight="true" outlineLevel="0" collapsed="false">
      <c r="A31" s="8" t="s">
        <v>242</v>
      </c>
      <c r="B31" s="20"/>
      <c r="C31" s="10" t="s">
        <v>186</v>
      </c>
      <c r="D31" s="21" t="s">
        <v>243</v>
      </c>
      <c r="E31" s="11" t="s">
        <v>244</v>
      </c>
    </row>
    <row r="32" customFormat="false" ht="27.75" hidden="false" customHeight="true" outlineLevel="0" collapsed="false">
      <c r="A32" s="8" t="s">
        <v>245</v>
      </c>
      <c r="B32" s="22" t="str">
        <f aca="false">IF(AND(B30&lt;&gt;"",B31&lt;&gt;"",B31&gt;0),ABS((B30-B31)/B31)*100,"")</f>
        <v/>
      </c>
      <c r="C32" s="10" t="s">
        <v>141</v>
      </c>
      <c r="D32" s="21" t="s">
        <v>246</v>
      </c>
      <c r="E32" s="11" t="s">
        <v>247</v>
      </c>
    </row>
    <row r="33" customFormat="false" ht="27.75" hidden="false" customHeight="true" outlineLevel="0" collapsed="false">
      <c r="A33" s="8" t="s">
        <v>248</v>
      </c>
      <c r="B33" s="22" t="str">
        <f aca="false">IF(B32="","Brak danych",IF(B32&lt;=5,"✅ MODEL ZATWIERDZONY (Δ≤5%)",IF(B32&lt;=10,"⚠️ WARUNKOWO (Δ5-10%) — szukaj błędów w danych","❌ ODRZUCONY (Δ&gt;10%) — weryfikuj dane motogodzin")))</f>
        <v>Brak danych</v>
      </c>
      <c r="C33" s="10"/>
      <c r="D33" s="21" t="s">
        <v>246</v>
      </c>
      <c r="E33" s="11" t="s">
        <v>249</v>
      </c>
    </row>
    <row r="34" customFormat="false" ht="13.5" hidden="false" customHeight="true" outlineLevel="0" collapsed="false">
      <c r="A34" s="24" t="s">
        <v>250</v>
      </c>
      <c r="B34" s="24"/>
      <c r="C34" s="24"/>
      <c r="D34" s="24"/>
      <c r="E34" s="24"/>
    </row>
  </sheetData>
  <mergeCells count="8">
    <mergeCell ref="A1:E1"/>
    <mergeCell ref="A2:E2"/>
    <mergeCell ref="A4:E4"/>
    <mergeCell ref="A10:E10"/>
    <mergeCell ref="A18:E18"/>
    <mergeCell ref="A28:E28"/>
    <mergeCell ref="A29:E29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42" hidden="false" customHeight="true" outlineLevel="0" collapsed="false">
      <c r="A1" s="1" t="s">
        <v>251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252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253</v>
      </c>
      <c r="B3" s="4"/>
      <c r="C3" s="3" t="s">
        <v>3</v>
      </c>
      <c r="D3" s="4"/>
      <c r="E3" s="3" t="s">
        <v>254</v>
      </c>
    </row>
    <row r="4" customFormat="false" ht="21.75" hidden="false" customHeight="true" outlineLevel="0" collapsed="false">
      <c r="A4" s="6" t="s">
        <v>255</v>
      </c>
      <c r="B4" s="6"/>
      <c r="C4" s="6"/>
      <c r="D4" s="6"/>
      <c r="E4" s="6"/>
    </row>
    <row r="5" customFormat="false" ht="24" hidden="false" customHeight="true" outlineLevel="0" collapsed="false">
      <c r="A5" s="25" t="s">
        <v>256</v>
      </c>
      <c r="B5" s="26" t="s">
        <v>257</v>
      </c>
      <c r="C5" s="27"/>
      <c r="D5" s="28"/>
      <c r="E5" s="29"/>
    </row>
    <row r="6" customFormat="false" ht="24" hidden="false" customHeight="true" outlineLevel="0" collapsed="false">
      <c r="A6" s="25" t="s">
        <v>258</v>
      </c>
      <c r="B6" s="26" t="s">
        <v>259</v>
      </c>
      <c r="C6" s="27"/>
      <c r="D6" s="28"/>
      <c r="E6" s="29"/>
    </row>
    <row r="7" customFormat="false" ht="24" hidden="false" customHeight="true" outlineLevel="0" collapsed="false">
      <c r="A7" s="25" t="s">
        <v>260</v>
      </c>
      <c r="B7" s="26" t="s">
        <v>261</v>
      </c>
      <c r="C7" s="27" t="s">
        <v>16</v>
      </c>
      <c r="D7" s="28"/>
      <c r="E7" s="29"/>
    </row>
    <row r="8" customFormat="false" ht="24" hidden="false" customHeight="true" outlineLevel="0" collapsed="false">
      <c r="A8" s="25" t="s">
        <v>262</v>
      </c>
      <c r="B8" s="26" t="s">
        <v>263</v>
      </c>
      <c r="C8" s="27"/>
      <c r="D8" s="28"/>
      <c r="E8" s="29"/>
    </row>
    <row r="9" customFormat="false" ht="24" hidden="false" customHeight="true" outlineLevel="0" collapsed="false">
      <c r="A9" s="25" t="s">
        <v>264</v>
      </c>
      <c r="B9" s="26" t="s">
        <v>265</v>
      </c>
      <c r="C9" s="27"/>
      <c r="D9" s="28"/>
      <c r="E9" s="29"/>
    </row>
    <row r="10" customFormat="false" ht="24" hidden="false" customHeight="true" outlineLevel="0" collapsed="false">
      <c r="A10" s="25" t="s">
        <v>266</v>
      </c>
      <c r="B10" s="26" t="s">
        <v>267</v>
      </c>
      <c r="C10" s="27" t="s">
        <v>268</v>
      </c>
      <c r="D10" s="28"/>
      <c r="E10" s="29"/>
    </row>
    <row r="11" customFormat="false" ht="21.75" hidden="false" customHeight="true" outlineLevel="0" collapsed="false">
      <c r="A11" s="13" t="s">
        <v>269</v>
      </c>
      <c r="B11" s="13"/>
      <c r="C11" s="13"/>
      <c r="D11" s="13"/>
      <c r="E11" s="13"/>
    </row>
    <row r="12" customFormat="false" ht="18" hidden="false" customHeight="true" outlineLevel="0" collapsed="false">
      <c r="A12" s="30" t="s">
        <v>270</v>
      </c>
      <c r="B12" s="30" t="s">
        <v>163</v>
      </c>
      <c r="C12" s="30" t="s">
        <v>271</v>
      </c>
      <c r="D12" s="30" t="s">
        <v>272</v>
      </c>
      <c r="E12" s="30" t="s">
        <v>273</v>
      </c>
    </row>
    <row r="13" customFormat="false" ht="27.75" hidden="false" customHeight="true" outlineLevel="0" collapsed="false">
      <c r="A13" s="31" t="s">
        <v>274</v>
      </c>
      <c r="B13" s="32" t="s">
        <v>275</v>
      </c>
      <c r="C13" s="27" t="s">
        <v>216</v>
      </c>
      <c r="D13" s="29" t="s">
        <v>276</v>
      </c>
      <c r="E13" s="28" t="s">
        <v>277</v>
      </c>
    </row>
    <row r="14" customFormat="false" ht="27.75" hidden="false" customHeight="true" outlineLevel="0" collapsed="false">
      <c r="A14" s="31" t="s">
        <v>278</v>
      </c>
      <c r="B14" s="32" t="s">
        <v>275</v>
      </c>
      <c r="C14" s="27" t="s">
        <v>141</v>
      </c>
      <c r="D14" s="29" t="s">
        <v>279</v>
      </c>
      <c r="E14" s="28" t="s">
        <v>277</v>
      </c>
    </row>
    <row r="15" customFormat="false" ht="27.75" hidden="false" customHeight="true" outlineLevel="0" collapsed="false">
      <c r="A15" s="31" t="s">
        <v>280</v>
      </c>
      <c r="B15" s="32" t="s">
        <v>281</v>
      </c>
      <c r="C15" s="27" t="s">
        <v>141</v>
      </c>
      <c r="D15" s="29" t="s">
        <v>282</v>
      </c>
      <c r="E15" s="28" t="s">
        <v>277</v>
      </c>
    </row>
    <row r="16" customFormat="false" ht="27.75" hidden="false" customHeight="true" outlineLevel="0" collapsed="false">
      <c r="A16" s="31" t="s">
        <v>283</v>
      </c>
      <c r="B16" s="32" t="s">
        <v>275</v>
      </c>
      <c r="C16" s="27" t="s">
        <v>212</v>
      </c>
      <c r="D16" s="29" t="s">
        <v>284</v>
      </c>
      <c r="E16" s="28" t="s">
        <v>284</v>
      </c>
    </row>
    <row r="17" customFormat="false" ht="27.75" hidden="false" customHeight="true" outlineLevel="0" collapsed="false">
      <c r="A17" s="31" t="s">
        <v>285</v>
      </c>
      <c r="B17" s="32" t="s">
        <v>275</v>
      </c>
      <c r="C17" s="27" t="s">
        <v>168</v>
      </c>
      <c r="D17" s="29" t="s">
        <v>284</v>
      </c>
      <c r="E17" s="28" t="s">
        <v>284</v>
      </c>
    </row>
    <row r="18" customFormat="false" ht="27.75" hidden="false" customHeight="true" outlineLevel="0" collapsed="false">
      <c r="A18" s="31" t="s">
        <v>286</v>
      </c>
      <c r="B18" s="32" t="s">
        <v>275</v>
      </c>
      <c r="C18" s="27" t="s">
        <v>78</v>
      </c>
      <c r="D18" s="29" t="s">
        <v>287</v>
      </c>
      <c r="E18" s="28" t="s">
        <v>277</v>
      </c>
    </row>
    <row r="19" customFormat="false" ht="27.75" hidden="false" customHeight="true" outlineLevel="0" collapsed="false">
      <c r="A19" s="31" t="s">
        <v>288</v>
      </c>
      <c r="B19" s="32" t="s">
        <v>289</v>
      </c>
      <c r="C19" s="27" t="s">
        <v>78</v>
      </c>
      <c r="D19" s="29" t="s">
        <v>290</v>
      </c>
      <c r="E19" s="28" t="s">
        <v>277</v>
      </c>
    </row>
    <row r="20" customFormat="false" ht="27.75" hidden="false" customHeight="true" outlineLevel="0" collapsed="false">
      <c r="A20" s="31" t="s">
        <v>291</v>
      </c>
      <c r="B20" s="32" t="s">
        <v>292</v>
      </c>
      <c r="C20" s="27" t="s">
        <v>78</v>
      </c>
      <c r="D20" s="29" t="s">
        <v>293</v>
      </c>
      <c r="E20" s="28" t="s">
        <v>277</v>
      </c>
    </row>
    <row r="21" customFormat="false" ht="21.75" hidden="false" customHeight="true" outlineLevel="0" collapsed="false">
      <c r="A21" s="12" t="s">
        <v>294</v>
      </c>
      <c r="B21" s="12"/>
      <c r="C21" s="12"/>
      <c r="D21" s="12"/>
      <c r="E21" s="12"/>
    </row>
    <row r="22" customFormat="false" ht="18" hidden="false" customHeight="true" outlineLevel="0" collapsed="false">
      <c r="A22" s="33" t="s">
        <v>295</v>
      </c>
      <c r="B22" s="33" t="s">
        <v>296</v>
      </c>
      <c r="C22" s="33" t="s">
        <v>297</v>
      </c>
      <c r="D22" s="33" t="s">
        <v>298</v>
      </c>
      <c r="E22" s="33" t="s">
        <v>299</v>
      </c>
    </row>
    <row r="23" customFormat="false" ht="24" hidden="false" customHeight="true" outlineLevel="0" collapsed="false">
      <c r="A23" s="25" t="s">
        <v>300</v>
      </c>
      <c r="B23" s="26" t="s">
        <v>301</v>
      </c>
      <c r="C23" s="27"/>
      <c r="D23" s="28"/>
      <c r="E23" s="29"/>
    </row>
    <row r="24" customFormat="false" ht="24" hidden="false" customHeight="true" outlineLevel="0" collapsed="false">
      <c r="A24" s="25" t="s">
        <v>302</v>
      </c>
      <c r="B24" s="26" t="s">
        <v>301</v>
      </c>
      <c r="C24" s="27"/>
      <c r="D24" s="28"/>
      <c r="E24" s="29"/>
    </row>
    <row r="25" customFormat="false" ht="24" hidden="false" customHeight="true" outlineLevel="0" collapsed="false">
      <c r="A25" s="25" t="s">
        <v>303</v>
      </c>
      <c r="B25" s="26" t="s">
        <v>301</v>
      </c>
      <c r="C25" s="27"/>
      <c r="D25" s="28"/>
      <c r="E25" s="29"/>
    </row>
    <row r="26" customFormat="false" ht="24" hidden="false" customHeight="true" outlineLevel="0" collapsed="false">
      <c r="A26" s="25" t="s">
        <v>304</v>
      </c>
      <c r="B26" s="26" t="s">
        <v>301</v>
      </c>
      <c r="C26" s="27"/>
      <c r="D26" s="28"/>
      <c r="E26" s="29"/>
    </row>
    <row r="27" customFormat="false" ht="24" hidden="false" customHeight="true" outlineLevel="0" collapsed="false">
      <c r="A27" s="25" t="s">
        <v>305</v>
      </c>
      <c r="B27" s="26" t="s">
        <v>301</v>
      </c>
      <c r="C27" s="27"/>
      <c r="D27" s="28"/>
      <c r="E27" s="29"/>
    </row>
    <row r="28" customFormat="false" ht="24" hidden="false" customHeight="true" outlineLevel="0" collapsed="false">
      <c r="A28" s="25" t="s">
        <v>306</v>
      </c>
      <c r="B28" s="34" t="s">
        <v>307</v>
      </c>
      <c r="C28" s="27" t="s">
        <v>308</v>
      </c>
      <c r="D28" s="28"/>
      <c r="E28" s="29"/>
    </row>
    <row r="29" customFormat="false" ht="21.75" hidden="false" customHeight="true" outlineLevel="0" collapsed="false">
      <c r="A29" s="14" t="s">
        <v>309</v>
      </c>
      <c r="B29" s="14"/>
      <c r="C29" s="14"/>
      <c r="D29" s="14"/>
      <c r="E29" s="14"/>
    </row>
    <row r="30" customFormat="false" ht="24" hidden="false" customHeight="true" outlineLevel="0" collapsed="false">
      <c r="A30" s="25" t="s">
        <v>310</v>
      </c>
      <c r="B30" s="26" t="s">
        <v>311</v>
      </c>
      <c r="C30" s="27"/>
      <c r="D30" s="28" t="s">
        <v>312</v>
      </c>
      <c r="E30" s="29"/>
    </row>
    <row r="31" customFormat="false" ht="24" hidden="false" customHeight="true" outlineLevel="0" collapsed="false">
      <c r="A31" s="25" t="s">
        <v>313</v>
      </c>
      <c r="B31" s="26" t="s">
        <v>311</v>
      </c>
      <c r="C31" s="27"/>
      <c r="D31" s="28" t="s">
        <v>312</v>
      </c>
      <c r="E31" s="29"/>
    </row>
    <row r="32" customFormat="false" ht="24" hidden="false" customHeight="true" outlineLevel="0" collapsed="false">
      <c r="A32" s="25" t="s">
        <v>314</v>
      </c>
      <c r="B32" s="26" t="s">
        <v>311</v>
      </c>
      <c r="C32" s="27"/>
      <c r="D32" s="28" t="s">
        <v>312</v>
      </c>
      <c r="E32" s="29"/>
    </row>
    <row r="33" customFormat="false" ht="24" hidden="false" customHeight="true" outlineLevel="0" collapsed="false">
      <c r="A33" s="25" t="s">
        <v>315</v>
      </c>
      <c r="B33" s="26" t="s">
        <v>311</v>
      </c>
      <c r="C33" s="27"/>
      <c r="D33" s="28" t="s">
        <v>312</v>
      </c>
      <c r="E33" s="29"/>
    </row>
    <row r="34" customFormat="false" ht="24" hidden="false" customHeight="true" outlineLevel="0" collapsed="false">
      <c r="A34" s="25" t="s">
        <v>316</v>
      </c>
      <c r="B34" s="26" t="s">
        <v>311</v>
      </c>
      <c r="C34" s="27"/>
      <c r="D34" s="28" t="s">
        <v>312</v>
      </c>
      <c r="E34" s="29"/>
    </row>
    <row r="35" customFormat="false" ht="24" hidden="false" customHeight="true" outlineLevel="0" collapsed="false">
      <c r="A35" s="25" t="s">
        <v>317</v>
      </c>
      <c r="B35" s="26" t="s">
        <v>311</v>
      </c>
      <c r="C35" s="27"/>
      <c r="D35" s="28" t="s">
        <v>312</v>
      </c>
      <c r="E35" s="29"/>
    </row>
    <row r="36" customFormat="false" ht="21.75" hidden="false" customHeight="true" outlineLevel="0" collapsed="false">
      <c r="A36" s="6" t="s">
        <v>318</v>
      </c>
      <c r="B36" s="6"/>
      <c r="C36" s="6"/>
      <c r="D36" s="6"/>
      <c r="E36" s="6"/>
    </row>
    <row r="37" customFormat="false" ht="18" hidden="false" customHeight="true" outlineLevel="0" collapsed="false">
      <c r="A37" s="3" t="s">
        <v>319</v>
      </c>
      <c r="B37" s="35" t="s">
        <v>320</v>
      </c>
      <c r="C37" s="36" t="s">
        <v>321</v>
      </c>
      <c r="D37" s="35" t="s">
        <v>322</v>
      </c>
      <c r="E37" s="37"/>
    </row>
    <row r="38" customFormat="false" ht="18" hidden="false" customHeight="true" outlineLevel="0" collapsed="false">
      <c r="A38" s="38" t="s">
        <v>4</v>
      </c>
      <c r="B38" s="35" t="s">
        <v>320</v>
      </c>
      <c r="C38" s="36" t="s">
        <v>321</v>
      </c>
      <c r="D38" s="35" t="s">
        <v>322</v>
      </c>
      <c r="E38" s="37"/>
    </row>
    <row r="39" customFormat="false" ht="13.5" hidden="false" customHeight="true" outlineLevel="0" collapsed="false">
      <c r="A39" s="17" t="s">
        <v>323</v>
      </c>
      <c r="B39" s="17"/>
      <c r="C39" s="17"/>
      <c r="D39" s="17"/>
      <c r="E39" s="17"/>
    </row>
  </sheetData>
  <mergeCells count="8">
    <mergeCell ref="A1:E1"/>
    <mergeCell ref="A2:E2"/>
    <mergeCell ref="A4:E4"/>
    <mergeCell ref="A11:E11"/>
    <mergeCell ref="A21:E21"/>
    <mergeCell ref="A29:E29"/>
    <mergeCell ref="A36:E36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6E"/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42" hidden="false" customHeight="true" outlineLevel="0" collapsed="false">
      <c r="A1" s="18" t="s">
        <v>324</v>
      </c>
      <c r="B1" s="18"/>
      <c r="C1" s="18"/>
      <c r="D1" s="18"/>
      <c r="E1" s="18"/>
    </row>
    <row r="2" customFormat="false" ht="15.75" hidden="false" customHeight="true" outlineLevel="0" collapsed="false">
      <c r="A2" s="19" t="s">
        <v>325</v>
      </c>
      <c r="B2" s="19"/>
      <c r="C2" s="19"/>
      <c r="D2" s="19"/>
      <c r="E2" s="19"/>
    </row>
    <row r="3" customFormat="false" ht="18" hidden="false" customHeight="true" outlineLevel="0" collapsed="false">
      <c r="A3" s="39" t="s">
        <v>326</v>
      </c>
    </row>
    <row r="4" customFormat="false" ht="13.5" hidden="false" customHeight="true" outlineLevel="0" collapsed="false">
      <c r="A4" s="40" t="s">
        <v>327</v>
      </c>
    </row>
    <row r="5" customFormat="false" ht="15" hidden="false" customHeight="true" outlineLevel="0" collapsed="false">
      <c r="A5" s="41" t="s">
        <v>328</v>
      </c>
    </row>
    <row r="6" customFormat="false" ht="15" hidden="false" customHeight="true" outlineLevel="0" collapsed="false">
      <c r="A6" s="41" t="s">
        <v>329</v>
      </c>
    </row>
    <row r="7" customFormat="false" ht="15" hidden="false" customHeight="true" outlineLevel="0" collapsed="false">
      <c r="A7" s="41" t="s">
        <v>330</v>
      </c>
    </row>
    <row r="8" customFormat="false" ht="15" hidden="false" customHeight="true" outlineLevel="0" collapsed="false">
      <c r="A8" s="42"/>
    </row>
    <row r="9" customFormat="false" ht="15" hidden="false" customHeight="true" outlineLevel="0" collapsed="false">
      <c r="A9" s="43" t="s">
        <v>331</v>
      </c>
    </row>
    <row r="10" customFormat="false" ht="15" hidden="false" customHeight="true" outlineLevel="0" collapsed="false">
      <c r="A10" s="41" t="s">
        <v>332</v>
      </c>
    </row>
    <row r="11" customFormat="false" ht="15" hidden="false" customHeight="true" outlineLevel="0" collapsed="false">
      <c r="A11" s="41" t="s">
        <v>333</v>
      </c>
    </row>
    <row r="12" customFormat="false" ht="15" hidden="false" customHeight="true" outlineLevel="0" collapsed="false">
      <c r="A12" s="41" t="s">
        <v>334</v>
      </c>
    </row>
    <row r="13" customFormat="false" ht="15" hidden="false" customHeight="true" outlineLevel="0" collapsed="false">
      <c r="A13" s="42"/>
    </row>
    <row r="14" customFormat="false" ht="15" hidden="false" customHeight="true" outlineLevel="0" collapsed="false">
      <c r="A14" s="43" t="s">
        <v>335</v>
      </c>
    </row>
    <row r="15" customFormat="false" ht="15" hidden="false" customHeight="true" outlineLevel="0" collapsed="false">
      <c r="A15" s="41" t="s">
        <v>336</v>
      </c>
    </row>
    <row r="16" customFormat="false" ht="15" hidden="false" customHeight="true" outlineLevel="0" collapsed="false">
      <c r="A16" s="41" t="s">
        <v>337</v>
      </c>
    </row>
    <row r="17" customFormat="false" ht="15" hidden="false" customHeight="true" outlineLevel="0" collapsed="false">
      <c r="A17" s="42"/>
    </row>
    <row r="18" customFormat="false" ht="15" hidden="false" customHeight="true" outlineLevel="0" collapsed="false">
      <c r="A18" s="41" t="s">
        <v>338</v>
      </c>
    </row>
    <row r="19" customFormat="false" ht="15" hidden="false" customHeight="true" outlineLevel="0" collapsed="false">
      <c r="A19" s="41" t="s">
        <v>339</v>
      </c>
    </row>
    <row r="20" customFormat="false" ht="15" hidden="false" customHeight="true" outlineLevel="0" collapsed="false">
      <c r="A20" s="41" t="s">
        <v>340</v>
      </c>
    </row>
    <row r="21" customFormat="false" ht="15" hidden="false" customHeight="true" outlineLevel="0" collapsed="false">
      <c r="A21" s="42"/>
    </row>
    <row r="22" customFormat="false" ht="15" hidden="false" customHeight="true" outlineLevel="0" collapsed="false">
      <c r="A22" s="41" t="s">
        <v>341</v>
      </c>
    </row>
    <row r="23" customFormat="false" ht="15" hidden="false" customHeight="true" outlineLevel="0" collapsed="false">
      <c r="A23" s="41" t="s">
        <v>342</v>
      </c>
    </row>
    <row r="24" customFormat="false" ht="15" hidden="false" customHeight="true" outlineLevel="0" collapsed="false">
      <c r="A24" s="41" t="s">
        <v>343</v>
      </c>
    </row>
    <row r="25" customFormat="false" ht="15" hidden="false" customHeight="true" outlineLevel="0" collapsed="false">
      <c r="A25" s="42"/>
    </row>
    <row r="26" customFormat="false" ht="15" hidden="false" customHeight="true" outlineLevel="0" collapsed="false">
      <c r="A26" s="41" t="s">
        <v>344</v>
      </c>
    </row>
    <row r="27" customFormat="false" ht="15" hidden="false" customHeight="true" outlineLevel="0" collapsed="false">
      <c r="A27" s="41" t="s">
        <v>345</v>
      </c>
    </row>
    <row r="28" customFormat="false" ht="15" hidden="false" customHeight="true" outlineLevel="0" collapsed="false">
      <c r="A28" s="42"/>
    </row>
    <row r="29" customFormat="false" ht="15" hidden="false" customHeight="true" outlineLevel="0" collapsed="false">
      <c r="A29" s="41" t="s">
        <v>346</v>
      </c>
    </row>
    <row r="30" customFormat="false" ht="15" hidden="false" customHeight="true" outlineLevel="0" collapsed="false">
      <c r="A30" s="41" t="s">
        <v>347</v>
      </c>
    </row>
    <row r="31" customFormat="false" ht="15" hidden="false" customHeight="true" outlineLevel="0" collapsed="false">
      <c r="A31" s="42"/>
    </row>
    <row r="32" customFormat="false" ht="15" hidden="false" customHeight="true" outlineLevel="0" collapsed="false">
      <c r="A32" s="41" t="s">
        <v>348</v>
      </c>
    </row>
    <row r="33" customFormat="false" ht="15" hidden="false" customHeight="true" outlineLevel="0" collapsed="false">
      <c r="A33" s="41" t="s">
        <v>349</v>
      </c>
    </row>
    <row r="34" customFormat="false" ht="15" hidden="false" customHeight="true" outlineLevel="0" collapsed="false">
      <c r="A34" s="42"/>
    </row>
    <row r="35" customFormat="false" ht="15" hidden="false" customHeight="true" outlineLevel="0" collapsed="false">
      <c r="A35" s="41" t="s">
        <v>350</v>
      </c>
    </row>
    <row r="36" customFormat="false" ht="15" hidden="false" customHeight="true" outlineLevel="0" collapsed="false">
      <c r="A36" s="42"/>
    </row>
    <row r="37" customFormat="false" ht="15" hidden="false" customHeight="true" outlineLevel="0" collapsed="false">
      <c r="A37" s="43" t="s">
        <v>351</v>
      </c>
    </row>
    <row r="38" customFormat="false" ht="15" hidden="false" customHeight="true" outlineLevel="0" collapsed="false">
      <c r="A38" s="44" t="s">
        <v>352</v>
      </c>
    </row>
    <row r="39" customFormat="false" ht="15" hidden="false" customHeight="true" outlineLevel="0" collapsed="false">
      <c r="A39" s="42"/>
    </row>
    <row r="40" customFormat="false" ht="15" hidden="false" customHeight="true" outlineLevel="0" collapsed="false">
      <c r="A40" s="43" t="s">
        <v>353</v>
      </c>
    </row>
    <row r="41" customFormat="false" ht="15" hidden="false" customHeight="true" outlineLevel="0" collapsed="false">
      <c r="A41" s="41" t="s">
        <v>354</v>
      </c>
    </row>
    <row r="42" customFormat="false" ht="15" hidden="false" customHeight="true" outlineLevel="0" collapsed="false">
      <c r="A42" s="41" t="s">
        <v>355</v>
      </c>
    </row>
    <row r="43" customFormat="false" ht="15" hidden="false" customHeight="true" outlineLevel="0" collapsed="false">
      <c r="A43" s="41" t="s">
        <v>356</v>
      </c>
    </row>
    <row r="44" customFormat="false" ht="15" hidden="false" customHeight="true" outlineLevel="0" collapsed="false">
      <c r="A44" s="41" t="s">
        <v>357</v>
      </c>
    </row>
    <row r="45" customFormat="false" ht="15" hidden="false" customHeight="true" outlineLevel="0" collapsed="false">
      <c r="A45" s="41" t="s">
        <v>358</v>
      </c>
    </row>
    <row r="46" customFormat="false" ht="15" hidden="false" customHeight="true" outlineLevel="0" collapsed="false">
      <c r="A46" s="41" t="s">
        <v>359</v>
      </c>
    </row>
    <row r="47" customFormat="false" ht="15" hidden="false" customHeight="true" outlineLevel="0" collapsed="false">
      <c r="A47" s="41" t="s">
        <v>360</v>
      </c>
    </row>
    <row r="48" customFormat="false" ht="15" hidden="false" customHeight="true" outlineLevel="0" collapsed="false">
      <c r="A48" s="41" t="s">
        <v>361</v>
      </c>
    </row>
    <row r="49" customFormat="false" ht="15" hidden="false" customHeight="true" outlineLevel="0" collapsed="false">
      <c r="A49" s="41" t="s">
        <v>362</v>
      </c>
    </row>
    <row r="50" customFormat="false" ht="15" hidden="false" customHeight="true" outlineLevel="0" collapsed="false">
      <c r="A50" s="41" t="s">
        <v>363</v>
      </c>
    </row>
    <row r="51" customFormat="false" ht="15" hidden="false" customHeight="true" outlineLevel="0" collapsed="false">
      <c r="A51" s="41" t="s">
        <v>364</v>
      </c>
    </row>
    <row r="52" customFormat="false" ht="15" hidden="false" customHeight="true" outlineLevel="0" collapsed="false">
      <c r="A52" s="41" t="s">
        <v>365</v>
      </c>
    </row>
    <row r="53" customFormat="false" ht="15" hidden="false" customHeight="true" outlineLevel="0" collapsed="false">
      <c r="A53" s="41" t="s">
        <v>366</v>
      </c>
    </row>
    <row r="54" customFormat="false" ht="15" hidden="false" customHeight="true" outlineLevel="0" collapsed="false">
      <c r="A54" s="41" t="s">
        <v>367</v>
      </c>
    </row>
    <row r="55" customFormat="false" ht="15" hidden="false" customHeight="true" outlineLevel="0" collapsed="false">
      <c r="A55" s="41" t="s">
        <v>368</v>
      </c>
    </row>
    <row r="56" customFormat="false" ht="15" hidden="false" customHeight="true" outlineLevel="0" collapsed="false">
      <c r="A56" s="41" t="s">
        <v>369</v>
      </c>
    </row>
    <row r="57" customFormat="false" ht="15" hidden="false" customHeight="true" outlineLevel="0" collapsed="false">
      <c r="A57" s="41" t="s">
        <v>370</v>
      </c>
    </row>
    <row r="58" customFormat="false" ht="15" hidden="false" customHeight="true" outlineLevel="0" collapsed="false">
      <c r="A58" s="41" t="s">
        <v>371</v>
      </c>
    </row>
    <row r="59" customFormat="false" ht="15" hidden="false" customHeight="true" outlineLevel="0" collapsed="false">
      <c r="A59" s="41" t="s">
        <v>372</v>
      </c>
    </row>
    <row r="60" customFormat="false" ht="15" hidden="false" customHeight="true" outlineLevel="0" collapsed="false">
      <c r="A60" s="41" t="s">
        <v>373</v>
      </c>
    </row>
    <row r="61" customFormat="false" ht="15" hidden="false" customHeight="true" outlineLevel="0" collapsed="false">
      <c r="A61" s="41" t="s">
        <v>374</v>
      </c>
    </row>
    <row r="62" customFormat="false" ht="15" hidden="false" customHeight="true" outlineLevel="0" collapsed="false">
      <c r="A62" s="41" t="s">
        <v>375</v>
      </c>
    </row>
    <row r="63" customFormat="false" ht="15" hidden="false" customHeight="true" outlineLevel="0" collapsed="false">
      <c r="A63" s="41" t="s">
        <v>376</v>
      </c>
    </row>
    <row r="64" customFormat="false" ht="15" hidden="false" customHeight="true" outlineLevel="0" collapsed="false">
      <c r="A64" s="41" t="s">
        <v>377</v>
      </c>
    </row>
    <row r="65" customFormat="false" ht="15" hidden="false" customHeight="true" outlineLevel="0" collapsed="false">
      <c r="A65" s="41" t="s">
        <v>378</v>
      </c>
    </row>
    <row r="66" customFormat="false" ht="15" hidden="false" customHeight="true" outlineLevel="0" collapsed="false">
      <c r="A66" s="41" t="s">
        <v>379</v>
      </c>
    </row>
    <row r="67" customFormat="false" ht="15" hidden="false" customHeight="false" outlineLevel="0" collapsed="false">
      <c r="A67" s="45" t="s">
        <v>380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2026-04-15T09:16:43Z</dcterms:created>
  <dc:creator>openpyxl</dc:creator>
  <dc:description/>
  <dc:language>en-US</dc:language>
  <cp:lastModifiedBy/>
  <dcterms:modified xsi:type="dcterms:W3CDTF">2026-04-15T09:16:43Z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