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KIETA_ETAP1" sheetId="1" state="visible" r:id="rId3"/>
    <sheet name="DANE_DTR_ETAP2" sheetId="2" state="visible" r:id="rId4"/>
    <sheet name="PASZPORT" sheetId="3" state="visible" r:id="rId5"/>
    <sheet name="SYSTEM_PROMP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<sst xmlns="http://schemas.openxmlformats.org/spreadsheetml/2006/main" count="512" uniqueCount="447">
  <si>
    <t xml:space="preserve">ENESA  ·  PASZPORT SYSTEMU GRZEWCZEGO  ·  A-EnMS-HTG-SYS-01  ·  ANKIETA ETAP 1</t>
  </si>
  <si>
    <t xml:space="preserve">Wypełnia: Energy Manager + Konsultant ENESA  ·  Pola ŻÓŁTE = wpisz  ·  Przegląd systemu grzewczego zakładu</t>
  </si>
  <si>
    <t xml:space="preserve">ID SYSTEMU / ZAKŁAD:</t>
  </si>
  <si>
    <t xml:space="preserve">Data przeglądu:</t>
  </si>
  <si>
    <t xml:space="preserve">Konsultant / EM:</t>
  </si>
  <si>
    <t xml:space="preserve">Nr</t>
  </si>
  <si>
    <t xml:space="preserve">Pytanie / Obserwacja</t>
  </si>
  <si>
    <t xml:space="preserve">Odpowiedź (wpisz)</t>
  </si>
  <si>
    <t xml:space="preserve">Jedn.</t>
  </si>
  <si>
    <t xml:space="preserve">Wskazówka</t>
  </si>
  <si>
    <t xml:space="preserve">  BLOK A — ŹRÓDŁA CIEPŁA — ZESTAWIENIE</t>
  </si>
  <si>
    <t xml:space="preserve">  Każde urządzenie grzewcze ma swój Paszport Urządzenia (A-EnMS-HTG-01). Ten paszport agreguje dane systemowe — jak źródła ciepła razem zaspokajają potrzeby zakładu.</t>
  </si>
  <si>
    <t xml:space="preserve">ID urządzenia</t>
  </si>
  <si>
    <t xml:space="preserve">Typ / paliwo</t>
  </si>
  <si>
    <t xml:space="preserve">Moc [kW]</t>
  </si>
  <si>
    <t xml:space="preserve">η_s [%]</t>
  </si>
  <si>
    <t xml:space="preserve">Rola (podstawowe/szczytowe/rez.)</t>
  </si>
  <si>
    <t xml:space="preserve">SUMA / ŁĄCZNIE</t>
  </si>
  <si>
    <t xml:space="preserve">A-01</t>
  </si>
  <si>
    <t xml:space="preserve">Łączna moc zainstalowana wszystkich źródeł ciepła [kW]</t>
  </si>
  <si>
    <t xml:space="preserve">kW</t>
  </si>
  <si>
    <t xml:space="preserve">Suma z tabeli powyżej. Porównaj z maksymalnym zapotrzebowaniem na ciepło zakładu</t>
  </si>
  <si>
    <t xml:space="preserve">A-02</t>
  </si>
  <si>
    <t xml:space="preserve">Jak długo działa obecny system grzewczy (rok instalacji / ostatniej modernizacji)?</t>
  </si>
  <si>
    <t xml:space="preserve">rok</t>
  </si>
  <si>
    <t xml:space="preserve">Wiek systemu → priorytet modernizacji i ocena ryzyka awarii</t>
  </si>
  <si>
    <t xml:space="preserve">A-03</t>
  </si>
  <si>
    <t xml:space="preserve">Jakie jest główne paliwo w systemie grzewczym?</t>
  </si>
  <si>
    <t xml:space="preserve">Gaz ziemny / Olej opałowy / Biomasa / Węgiel / Elektryczność / Ciepło sieciowe / Mix</t>
  </si>
  <si>
    <t xml:space="preserve">A-04</t>
  </si>
  <si>
    <t xml:space="preserve">Czy zakład posiada własne źródło OZE wspomagające ogrzewanie?</t>
  </si>
  <si>
    <t xml:space="preserve">TAK — pompa ciepła / kolektory słoneczne / biomasa własna / NIE</t>
  </si>
  <si>
    <t xml:space="preserve">A-05</t>
  </si>
  <si>
    <t xml:space="preserve">Czy jest możliwość przełączenia między paliwami / źródłami?</t>
  </si>
  <si>
    <t xml:space="preserve">TAK — opisz (np. kocioł gazowy + olejowy rezerwowy) / NIE</t>
  </si>
  <si>
    <t xml:space="preserve">  BLOK B — SIEĆ DYSTRYBUCJI CIEPŁA</t>
  </si>
  <si>
    <t xml:space="preserve">B-01</t>
  </si>
  <si>
    <t xml:space="preserve">Typ instalacji grzewczej w zakładzie</t>
  </si>
  <si>
    <t xml:space="preserve">Grzejnikowa (tradycyjna, wysoka temperatura 70-90°C) / Ogrzewanie podłogowe (niska temperatura 35-45°C) / Nagrzewnice powietrzne (AHU z nagrzewnicami, 60-80°C) / Mix</t>
  </si>
  <si>
    <t xml:space="preserve">B-02</t>
  </si>
  <si>
    <t xml:space="preserve">Jaka jest średnia temperatura zasilania w sezonie grzewczym? [°C]</t>
  </si>
  <si>
    <t xml:space="preserve">°C</t>
  </si>
  <si>
    <t xml:space="preserve">Odczyt z ciepłomierza lub ze sterownika. Im niższa tym lepsza efektywność kotłów kondensacyjnych</t>
  </si>
  <si>
    <t xml:space="preserve">B-03</t>
  </si>
  <si>
    <t xml:space="preserve">Jaka jest średnia temperatura powrotu w sezonie grzewczym? [°C]</t>
  </si>
  <si>
    <t xml:space="preserve">★ KLUCZOWE dla kondensacji. Powrót &lt;57°C = kocioł kondensuje = oszczędność 10-15%</t>
  </si>
  <si>
    <t xml:space="preserve">B-04</t>
  </si>
  <si>
    <t xml:space="preserve">Czy rury instalacji grzewczej są zaizolowane?</t>
  </si>
  <si>
    <t xml:space="preserve">TAK — cała trasa w kotłowni i kanaliki / Częściowo / NIE. Niezaizolowane rury w kotłowni = 3-8% strat ciepła</t>
  </si>
  <si>
    <t xml:space="preserve">B-05</t>
  </si>
  <si>
    <t xml:space="preserve">Jaki jest szacowany wiek sieci rurowej?</t>
  </si>
  <si>
    <t xml:space="preserve">Rok instalacji lub ostatniej modernizacji sieci</t>
  </si>
  <si>
    <t xml:space="preserve">B-06</t>
  </si>
  <si>
    <t xml:space="preserve">Czy są zainstalowane pompy cyrkulacyjne z regulowaną prędkością (EC / VFD)?</t>
  </si>
  <si>
    <t xml:space="preserve">TAK — pompy elektroniczne (EC) lub z falownikiem / NIE — pompy stałoprędkościowe. EC pompy zużywają 30-60% mniej energii elektrycznej</t>
  </si>
  <si>
    <t xml:space="preserve">B-07</t>
  </si>
  <si>
    <t xml:space="preserve">Ile pomp cyrkulacyjnych jest w systemie i jaka jest ich łączna moc [kW]?</t>
  </si>
  <si>
    <t xml:space="preserve">Policz pompy: główna + obiegowe strefowe. Moc z tabliczek silników</t>
  </si>
  <si>
    <t xml:space="preserve">B-08</t>
  </si>
  <si>
    <t xml:space="preserve">Czy są zawory regulacyjne (termostatyczne lub sterowane) przy odbiornikach?</t>
  </si>
  <si>
    <t xml:space="preserve">TAK — zawory termostatyczne / TAK — zawory z siłownikami elektrycznymi / NIE — brak regulacji</t>
  </si>
  <si>
    <t xml:space="preserve">  BLOK C — STEROWANIE I AUTOMATYKA</t>
  </si>
  <si>
    <t xml:space="preserve">C-01</t>
  </si>
  <si>
    <t xml:space="preserve">Czy system grzewczy ma centralny system zarządzania (BMS/BAS)?</t>
  </si>
  <si>
    <t xml:space="preserve">TAK — platforma (np. Siemens Desigo, Honeywell, Trane Tracer) / NIE — sterowanie lokalne przy kotłach</t>
  </si>
  <si>
    <t xml:space="preserve">C-02</t>
  </si>
  <si>
    <t xml:space="preserve">Czy kotły pracują kaskadowo (jeden startuje gdy drugi nie wystarczy)?</t>
  </si>
  <si>
    <t xml:space="preserve">TAK — automatyczna kaskada / NIE — ręczne przełączanie / Jeden kocioł</t>
  </si>
  <si>
    <t xml:space="preserve">C-03</t>
  </si>
  <si>
    <t xml:space="preserve">Czy jest regulacja pogodowa (temperatura zasilania zależy od temp. zewnętrznej)?</t>
  </si>
  <si>
    <t xml:space="preserve">TAK — czujnik zewnętrzny + sterownik obniża temperaturę przy ciepłej pogodzie / NIE
Brak regulacji pogodowej = nadmierne ogrzewanie przy +5°C jak przy -15°C</t>
  </si>
  <si>
    <t xml:space="preserve">C-04</t>
  </si>
  <si>
    <t xml:space="preserve">Czy są programowalne harmonogramy pracy (obniżenie temp. nocą / weekendy)?</t>
  </si>
  <si>
    <t xml:space="preserve">TAK — harmonogram ustawiony i aktywny / TAK — ale nie używany / NIE
Nocne obniżenie temp. o 5-8°C = 10-20% oszczędności</t>
  </si>
  <si>
    <t xml:space="preserve">C-05</t>
  </si>
  <si>
    <t xml:space="preserve">Jaka jest nastawa temp. zasilania w dzień [°C] i w nocy / weekendy [°C]?</t>
  </si>
  <si>
    <t xml:space="preserve">Np: dzień 70°C / noc 55°C. Jeśli brak harmonogramu — jedna wartość</t>
  </si>
  <si>
    <t xml:space="preserve">C-06</t>
  </si>
  <si>
    <t xml:space="preserve">Czy są indywidualne regulatory temperatury (termostaty) w strefach?</t>
  </si>
  <si>
    <t xml:space="preserve">TAK — w każdej strefie / Tylko w niektórych / NIE — bez regulacji strefowej</t>
  </si>
  <si>
    <t xml:space="preserve">C-07</t>
  </si>
  <si>
    <t xml:space="preserve">Czy jest monitoring ciepłomierzy w poszczególnych strefach?</t>
  </si>
  <si>
    <t xml:space="preserve">TAK — ciepłomierze strefowe / NIE — tylko jeden główny / Brak ciepłomierzy</t>
  </si>
  <si>
    <t xml:space="preserve">  BLOK D — DANE ENERGETYCZNE I KOSZTY</t>
  </si>
  <si>
    <t xml:space="preserve">D-01</t>
  </si>
  <si>
    <t xml:space="preserve">Roczne zużycie paliwa w systemie grzewczym — gaz [m³/rok]</t>
  </si>
  <si>
    <t xml:space="preserve">m³/rok</t>
  </si>
  <si>
    <t xml:space="preserve">Z faktur za gaz za ostatnie 12 miesięcy. Uwaga: przelicz na kWh: m³ × 9.97 kWh/m³</t>
  </si>
  <si>
    <t xml:space="preserve">D-02</t>
  </si>
  <si>
    <t xml:space="preserve">Roczne zużycie paliwa — olej opałowy [litrów/rok]</t>
  </si>
  <si>
    <t xml:space="preserve">l/rok</t>
  </si>
  <si>
    <t xml:space="preserve">Z faktur lub odczytów zbiornika</t>
  </si>
  <si>
    <t xml:space="preserve">D-03</t>
  </si>
  <si>
    <t xml:space="preserve">Roczne zużycie paliwa — biomasa/węgiel [t/rok]</t>
  </si>
  <si>
    <t xml:space="preserve">t/rok</t>
  </si>
  <si>
    <t xml:space="preserve">Z dostaw. Wartość opałowa biomasy: 3.5-4.5 kWh/kg (przy wilgotności 20-30%)</t>
  </si>
  <si>
    <t xml:space="preserve">D-04</t>
  </si>
  <si>
    <t xml:space="preserve">Roczna produkcja ciepła (z głównego ciepłomierza) [GJ/rok]</t>
  </si>
  <si>
    <t xml:space="preserve">GJ/rok</t>
  </si>
  <si>
    <t xml:space="preserve">Odczyt z głównego ciepłomierza. Przelicznik: 1 GJ = 277.8 kWh = 0.278 MWh</t>
  </si>
  <si>
    <t xml:space="preserve">D-05</t>
  </si>
  <si>
    <t xml:space="preserve">Roczny koszt paliwa/ciepła dla systemu grzewczego [zł/rok]</t>
  </si>
  <si>
    <t xml:space="preserve">zł/rok</t>
  </si>
  <si>
    <t xml:space="preserve">Suma faktur za paliwo grzewcze za 12 miesięcy</t>
  </si>
  <si>
    <t xml:space="preserve">D-06</t>
  </si>
  <si>
    <t xml:space="preserve">Jaki % zużycia energii cieplnej to ogrzewanie pomieszczeń?</t>
  </si>
  <si>
    <t xml:space="preserve">%</t>
  </si>
  <si>
    <t xml:space="preserve">Szacunek: ogrzewanie / (ogrzewanie + CWU + procesy technologiczne) × 100</t>
  </si>
  <si>
    <t xml:space="preserve">D-07</t>
  </si>
  <si>
    <t xml:space="preserve">Jaki % to podgrzewanie ciepłej wody użytkowej (CWU)?</t>
  </si>
  <si>
    <t xml:space="preserve">Szacunek lub z podlicznika CWU</t>
  </si>
  <si>
    <t xml:space="preserve">D-08</t>
  </si>
  <si>
    <t xml:space="preserve">Jaki % to procesy technologiczne (nagrzewanie, obróbka termiczna)?</t>
  </si>
  <si>
    <t xml:space="preserve">Szacunek lub z podliczników procesowych</t>
  </si>
  <si>
    <t xml:space="preserve">  BLOK E — ZAPOTRZEBOWANIE NA CIEPŁO I ZGODNOŚĆ</t>
  </si>
  <si>
    <t xml:space="preserve">E-01</t>
  </si>
  <si>
    <t xml:space="preserve">Jaka jest obliczeniowa moc szczytowa zapotrzebowania na ciepło zakładu [kW]?</t>
  </si>
  <si>
    <t xml:space="preserve">Z projektu instalacji lub obliczenia audytorskiego. Porównaj z mocą zainstalowaną z Bloku A — czy jest przewymiarowanie?</t>
  </si>
  <si>
    <t xml:space="preserve">E-02</t>
  </si>
  <si>
    <t xml:space="preserve">Jaki jest wskaźnik wykorzystania mocy? (moc szczytowa / moc zainstalowana)</t>
  </si>
  <si>
    <t xml:space="preserve">Jeśli znane. Typowo 60-80%. &lt;50% = duże przewymiarowanie = częsta praca na biegu jałowym</t>
  </si>
  <si>
    <t xml:space="preserve">E-03</t>
  </si>
  <si>
    <t xml:space="preserve">Czy zakład posiada audyt energetyczny systemu grzewczego?</t>
  </si>
  <si>
    <t xml:space="preserve">TAK — kiedy (rok) / NIE. Audyt co 4 lata wymagany dla dużych przedsiębiorstw (Ustawa EfEn)</t>
  </si>
  <si>
    <t xml:space="preserve">E-04</t>
  </si>
  <si>
    <t xml:space="preserve">Czy przeprowadzano regulację hydrauliczną instalacji?</t>
  </si>
  <si>
    <t xml:space="preserve">TAK — kiedy (rok) / NIE. Brak regulacji hydraulicznej = nierównomierne ogrzewanie, nadmierne przepływy w bliskich strefach, niedobory w dalszych</t>
  </si>
  <si>
    <t xml:space="preserve">E-05</t>
  </si>
  <si>
    <t xml:space="preserve">Czy są obszary z problemami grzewczymi (za zimno / za gorąco)?</t>
  </si>
  <si>
    <t xml:space="preserve">NIE / TAK — opisz które strefy i problem. To sygnał złej regulacji lub nieszczelności</t>
  </si>
  <si>
    <t xml:space="preserve">  BLOK F2 — COMPLIANCE: USTAWA O CHARAKTERYSTYCE ENERGETYCZNEJ BUDYNKÓW  ★ REJESTR e-CR</t>
  </si>
  <si>
    <t xml:space="preserve">PODSTAWA PRAWNA: Ustawa z 29.08.2014 r. o charakterystyce energetycznej budynków (t.j. Dz.U. 2023 poz. 1498) + Rozporządzenie MRiT z 14.03.2023 r. (Dz.U. 2023 poz. 729). Brak aktualnej kontroli lub brak wpisu do Centralnego Rejestru = NIEZGODNOŚĆ PRAWNA → kara grzywny wg art. 41 pkt 3 ustawy + niezgodność ISO 50001 kl. 9.1 (wymagania prawne).</t>
  </si>
  <si>
    <t xml:space="preserve">F2-01</t>
  </si>
  <si>
    <t xml:space="preserve">Czy zakład wykonał kontrolę systemu ogrzewania wg Ustawy o charakterystyce energetycznej budynków?</t>
  </si>
  <si>
    <t xml:space="preserve">TAK — dla wszystkich kotłów / TAK — dla niektórych / NIE — NIEZGODNOŚĆ PRAWNA / NIE WIEM</t>
  </si>
  <si>
    <t xml:space="preserve">F2-02</t>
  </si>
  <si>
    <t xml:space="preserve">Data ostatniej kontroli systemu ogrzewania zakładu (z protokołu)</t>
  </si>
  <si>
    <t xml:space="preserve">DD.MM.RRRR — z protokołu kontroli wg ustawy. Jeśli kilka kotłów — data najstarszego protokołu</t>
  </si>
  <si>
    <t xml:space="preserve">F2-03</t>
  </si>
  <si>
    <t xml:space="preserve">Numer(y) protokołu z Centralnego Rejestru charakterystyki energetycznej budynków (e-CR)</t>
  </si>
  <si>
    <t xml:space="preserve">Każdy kocioł osobny protokół → lista numerów. Format: PO/2023/001234
Jeśli jeden protokół dla całego obiektu — podaj jeden numer</t>
  </si>
  <si>
    <t xml:space="preserve">F2-04</t>
  </si>
  <si>
    <t xml:space="preserve">Czy numery protokołów zweryfikowano w systemie e-CR (gov.pl → rejestr)?</t>
  </si>
  <si>
    <t xml:space="preserve">TAK — wszystkie numery istnieją w rejestrze
NIE — brak wpisu w rejestrze = NIEZGODNOŚĆ PRAWNA (protokół jest nieważny prawnie)
Adres weryfikacji: rejestry.seq.gov.pl/seep</t>
  </si>
  <si>
    <t xml:space="preserve">F2-05</t>
  </si>
  <si>
    <t xml:space="preserve">Dla jakich urządzeń wykonano kontrolę? (podaj ID z tabeli Bloku A)</t>
  </si>
  <si>
    <t xml:space="preserve">Lista ID urządzeń objętych ostatnią kontrolą. Brak urządzenia = NIEZGODNOŚĆ dla tego urządzenia</t>
  </si>
  <si>
    <t xml:space="preserve">F2-06</t>
  </si>
  <si>
    <t xml:space="preserve">Dla jakich urządzeń BRAKUJE aktualnej kontroli?</t>
  </si>
  <si>
    <t xml:space="preserve">Lista ID urządzeń bez aktualnej kontroli → to jest lista niezgodności do wykazania w audycie</t>
  </si>
  <si>
    <t xml:space="preserve">F2-07</t>
  </si>
  <si>
    <t xml:space="preserve">Czy zakład posiada umowę ESCO o poprawę efektywności energetycznej?</t>
  </si>
  <si>
    <t xml:space="preserve">TAK — umowa ESCO wg art. 7 Ustawy o efektywności energetycznej → ZWOLNIENIE z kontroli
NIE → kontrola obowiązkowa dla wszystkich urządzeń spełniających kryteria mocy</t>
  </si>
  <si>
    <t xml:space="preserve">F2-08</t>
  </si>
  <si>
    <t xml:space="preserve">Czy system jest obsługiwany przez operatora z monitoringiem wyników?</t>
  </si>
  <si>
    <t xml:space="preserve">TAK (np. węzeł cieplny monitorowany przez EC) → ZWOLNIENIE z kontroli wg art. 23 ust. 4
NIE → kontrola obowiązkowa</t>
  </si>
  <si>
    <t xml:space="preserve">F2-09</t>
  </si>
  <si>
    <t xml:space="preserve">Czy jest połączony system ogrzewania I wentylacji (HTG+VAC) o łącznej mocy &gt;70 kW?</t>
  </si>
  <si>
    <t xml:space="preserve">TAK — dla takiego systemu kontrola co 3 lata (nie co 5 lat jak dla kotłów)
NIE — stosuj częstotliwość wg mocy i paliwa każdego kotła</t>
  </si>
  <si>
    <t xml:space="preserve">F2-10</t>
  </si>
  <si>
    <t xml:space="preserve">Termin kolejnej kontroli obowiązkowej (najwcześniejszy) dla całego systemu</t>
  </si>
  <si>
    <t xml:space="preserve">DD.MM.RRRR — oblicz dla każdego urządzenia i wpisz najwcześniejszy wymagany termin
To jest termin do monitorowania przez Energy Managera</t>
  </si>
  <si>
    <t xml:space="preserve">F2-11</t>
  </si>
  <si>
    <t xml:space="preserve">STWIERDZONE NIEZGODNOŚCI PRAWNE — lista do wykazania w Rejestrze Wymagań Prawnych</t>
  </si>
  <si>
    <t xml:space="preserve">np. 'Kocioł HTG-02 — brak kontroli od &gt;5 lat; Kocioł HTG-03 — brak wpisu w rejestrze e-CR'
BRAK = wszystkie wymagania spełnione. Niezgodności trafiają do Z-ZSZ-REG-01</t>
  </si>
  <si>
    <t xml:space="preserve">  ENESA  ·  A-EnMS-HTG-SYS-01  ·  ANKIETA ETAP 1  ·  Wersja 3.1  ·  Blok F2: Ustawa o char. energet. 29.08.2014 + Rozp. MRiT 14.03.2023</t>
  </si>
  <si>
    <t xml:space="preserve">ENESA  ·  PASZPORT SYSTEMU GRZEWCZEGO  ·  A-EnMS-HTG-SYS-01  ·  ETAP 2 OBLICZENIA</t>
  </si>
  <si>
    <t xml:space="preserve">Wypełnia: Energy Manager + Konsultant ENESA  ·  Pola NIEBIESKIE = wpisz  ·  Pola SZARE = formuły</t>
  </si>
  <si>
    <t xml:space="preserve">Parametr / Obliczenie</t>
  </si>
  <si>
    <t xml:space="preserve">Wartość</t>
  </si>
  <si>
    <t xml:space="preserve">Norma / Źródło</t>
  </si>
  <si>
    <t xml:space="preserve">Komentarz / Wzór</t>
  </si>
  <si>
    <t xml:space="preserve">  SEKCJA 1 — ZESTAWIENIE URZĄDZEŃ GRZEWCZYCH SYSTEMU</t>
  </si>
  <si>
    <t xml:space="preserve">Moc Q_n [kW]</t>
  </si>
  <si>
    <t xml:space="preserve">E_ciepło [MWh/rok]</t>
  </si>
  <si>
    <t xml:space="preserve">Rola</t>
  </si>
  <si>
    <t xml:space="preserve">SUMA SYSTEMU</t>
  </si>
  <si>
    <t xml:space="preserve">  SEKCJA 2 — INPUTY ENERGETYCZNE SYSTEMU (dane z faktur i liczników)</t>
  </si>
  <si>
    <t xml:space="preserve">Zużycie gazu ziemnego [m³/rok]</t>
  </si>
  <si>
    <t xml:space="preserve">Faktura gaz</t>
  </si>
  <si>
    <t xml:space="preserve">Z faktur za 12 mies. Przelicznik: ×9.97 kWh/m³</t>
  </si>
  <si>
    <t xml:space="preserve">Zużycie oleju opałowego [l/rok]</t>
  </si>
  <si>
    <t xml:space="preserve">Faktura olej</t>
  </si>
  <si>
    <t xml:space="preserve">Z faktur. Przelicznik: ×10.0 kWh/l</t>
  </si>
  <si>
    <t xml:space="preserve">Zużycie biomasy / węgla [t/rok]</t>
  </si>
  <si>
    <t xml:space="preserve">Dostawy</t>
  </si>
  <si>
    <t xml:space="preserve">Biomasa: ×4.0 kWh/kg = ×4000 kWh/t</t>
  </si>
  <si>
    <t xml:space="preserve">Zużycie energii el. pomp cyrkulacyjnych [kWh/rok]</t>
  </si>
  <si>
    <t xml:space="preserve">kWh/rok</t>
  </si>
  <si>
    <t xml:space="preserve">Licznik el. kotłowni</t>
  </si>
  <si>
    <t xml:space="preserve">Jeśli oddzielny licznik. Szacunek: P_pomp[kW] × godziny_pracy</t>
  </si>
  <si>
    <t xml:space="preserve">Produkcja ciepła z ciepłomierza [MWh/rok]</t>
  </si>
  <si>
    <t xml:space="preserve">MWh/rok</t>
  </si>
  <si>
    <t xml:space="preserve">Ciepłomierz główny</t>
  </si>
  <si>
    <t xml:space="preserve">Etap1 D-04. Przelicz z GJ: ×0.278</t>
  </si>
  <si>
    <t xml:space="preserve">Cena gazu [zł/m³]</t>
  </si>
  <si>
    <t xml:space="preserve">zł/m³</t>
  </si>
  <si>
    <t xml:space="preserve">Faktura</t>
  </si>
  <si>
    <t xml:space="preserve">Aktualna — z ostatniej faktury</t>
  </si>
  <si>
    <t xml:space="preserve">Cena oleju opałowego [zł/l]</t>
  </si>
  <si>
    <t xml:space="preserve">zł/l</t>
  </si>
  <si>
    <t xml:space="preserve">Cena energii elektrycznej (pompy) [zł/kWh]</t>
  </si>
  <si>
    <t xml:space="preserve">zł/kWh</t>
  </si>
  <si>
    <t xml:space="preserve">Faktura el.</t>
  </si>
  <si>
    <t xml:space="preserve">Roczny czas sezonu grzewczego [h/rok]</t>
  </si>
  <si>
    <t xml:space="preserve">h/rok</t>
  </si>
  <si>
    <t xml:space="preserve">Etap1 E-06 × 30.5 × 24</t>
  </si>
  <si>
    <t xml:space="preserve">Szacunek: 7 miesięcy = 5040 h · 8 miesięcy = 5760 h · 9 miesięcy = 6480 h</t>
  </si>
  <si>
    <t xml:space="preserve">Obsługiwana powierzchnia ogrzewana [m²]</t>
  </si>
  <si>
    <t xml:space="preserve">m²</t>
  </si>
  <si>
    <t xml:space="preserve">Projekt / pomiar</t>
  </si>
  <si>
    <t xml:space="preserve">Suma powierzchni ogrzewanych pomieszczeń zakładu</t>
  </si>
  <si>
    <t xml:space="preserve">  SEKCJA 3 — OBLICZENIA SYSTEMOWE (formuły Excel)</t>
  </si>
  <si>
    <t xml:space="preserve">  E_paliwo_total = gaz×9.97 + olej×10.0 + biomasa×4000  ·  EnPI_system = E_paliwo_total / E_ciepło_licznik × 100 = sprawność systemu [%]  ·  EnPI_pow = E_paliwo_total / pow_ogrzewana [kWh/m²/rok]</t>
  </si>
  <si>
    <t xml:space="preserve">E_gaz — energia chemiczna gazu [kWh/rok]</t>
  </si>
  <si>
    <t xml:space="preserve">OBLICZONA</t>
  </si>
  <si>
    <t xml:space="preserve"> = m³_gaz × 9.97 kWh/m³</t>
  </si>
  <si>
    <t xml:space="preserve">E_olej — energia chemiczna oleju [kWh/rok]</t>
  </si>
  <si>
    <t xml:space="preserve"> = l_olej × 10.0 kWh/l</t>
  </si>
  <si>
    <t xml:space="preserve">E_biomasa — energia chemiczna biomasy [kWh/rok]</t>
  </si>
  <si>
    <t xml:space="preserve"> = t_biomasa × 4000 kWh/t</t>
  </si>
  <si>
    <t xml:space="preserve">E_paliwo_total — łączna energia paliwa [kWh/rok]</t>
  </si>
  <si>
    <t xml:space="preserve"> =B30+B31+B32</t>
  </si>
  <si>
    <t xml:space="preserve"> = E_gaz + E_olej + E_biomasa</t>
  </si>
  <si>
    <t xml:space="preserve">E_ciepło_licznik [kWh/rok]</t>
  </si>
  <si>
    <t xml:space="preserve">Z ciepłomierza</t>
  </si>
  <si>
    <t xml:space="preserve"> = MWh × 1000</t>
  </si>
  <si>
    <t xml:space="preserve">Sprawność systemu η_sys [%]</t>
  </si>
  <si>
    <t xml:space="preserve"> = E_ciepło / E_paliwo × 100. Poniżej η_s urządzeń = straty dystrybucji!</t>
  </si>
  <si>
    <t xml:space="preserve">Straty dystrybucji ciepła [%]</t>
  </si>
  <si>
    <t xml:space="preserve"> = η_s_urzadzeń_śr - η_sys. Dodatnia = straty w sieci</t>
  </si>
  <si>
    <t xml:space="preserve">EnPI powierzchniowy [kWh/(m²·rok)]</t>
  </si>
  <si>
    <t xml:space="preserve">kWh/m²/rok</t>
  </si>
  <si>
    <t xml:space="preserve"> = E_paliwo / pow_ogrzewana. Benchmark: biura&lt;100 · hale&lt;200 · hot-process&lt;300</t>
  </si>
  <si>
    <t xml:space="preserve">Walidacja bottom-up |ΔE| [%]</t>
  </si>
  <si>
    <t xml:space="preserve">OBLICZONA · P-EnMS-02</t>
  </si>
  <si>
    <t xml:space="preserve"> |ΔE| = |E_licznik - E_suma_urządzeń| / E_licznik. Cel: ≤5%</t>
  </si>
  <si>
    <t xml:space="preserve">Decyzja modelu bottom-up</t>
  </si>
  <si>
    <t xml:space="preserve">Koszt gazu roczny [zł/rok]</t>
  </si>
  <si>
    <t xml:space="preserve">Koszt oleju roczny [zł/rok]</t>
  </si>
  <si>
    <t xml:space="preserve">Łączny koszt paliwa systemu [zł/rok]</t>
  </si>
  <si>
    <t xml:space="preserve">Potencjał oszczędności przez regulację pogodową [kWh/rok]</t>
  </si>
  <si>
    <t xml:space="preserve">Szacunek ENESA</t>
  </si>
  <si>
    <t xml:space="preserve"> = E_paliwo × 12% (typowe oszczędności z regulacji pogodowej)</t>
  </si>
  <si>
    <t xml:space="preserve">  SEKCJA 6 — COMPLIANCE SYSTEMOWY: USTAWA O CHARAKTERYSTYCE ENERGETYCZNEJ BUDYNKÓW</t>
  </si>
  <si>
    <t xml:space="preserve">  Wymagane: art. 23 Ustawy z 29.08.2014 r. (t.j. Dz.U. 2023 poz. 1498)  ·  Rozp. MRiT z 14.03.2023 r. (Dz.U. 2023 poz. 729) — wzory protokołów  ·  Niezgodności wpisują się automatycznie do Rejestru Wymagań Prawnych Z-ZSZ-REG-01.</t>
  </si>
  <si>
    <t xml:space="preserve">  TABELA KONTROLI URZĄDZEŃ SYSTEMU GRZEWCZEGO — wypełnij dla każdego urządzenia:</t>
  </si>
  <si>
    <t xml:space="preserve">Data ostatniej kontroli</t>
  </si>
  <si>
    <t xml:space="preserve">Nr protokołu e-CR</t>
  </si>
  <si>
    <t xml:space="preserve">Termin kolejnej kontroli</t>
  </si>
  <si>
    <t xml:space="preserve">STATUS</t>
  </si>
  <si>
    <t xml:space="preserve">    Podsumowanie i ocena systemowa</t>
  </si>
  <si>
    <t xml:space="preserve">Łączna liczba urządzeń wymagających kontroli</t>
  </si>
  <si>
    <t xml:space="preserve">szt.</t>
  </si>
  <si>
    <t xml:space="preserve">art. 23 ustawy</t>
  </si>
  <si>
    <t xml:space="preserve">Urządzenia spełniające kryteria mocy i paliwa</t>
  </si>
  <si>
    <t xml:space="preserve">Liczba urządzeń z aktualną kontrolą i wpisem e-CR</t>
  </si>
  <si>
    <t xml:space="preserve">e-CR + art. 23</t>
  </si>
  <si>
    <t xml:space="preserve">Urządzenia gdzie F2-04=TAK i protokół aktualny</t>
  </si>
  <si>
    <t xml:space="preserve">Liczba urządzeń z NIEZGODNOŚCIĄ</t>
  </si>
  <si>
    <t xml:space="preserve"> = wymagane - zgodne. Każda niezgodność → wpis do Z-ZSZ-REG-01</t>
  </si>
  <si>
    <t xml:space="preserve">Czy zakład zwolniony z kontroli (ESCO/operator)?</t>
  </si>
  <si>
    <t xml:space="preserve">Etap1 F2-07 / F2-08</t>
  </si>
  <si>
    <t xml:space="preserve">TAK → brak obowiązku / NIE → obowiązek dla wszystkich urządzeń</t>
  </si>
  <si>
    <t xml:space="preserve">Czy system HTG+VAC połączony &gt;70 kW?</t>
  </si>
  <si>
    <t xml:space="preserve">Etap1 F2-09</t>
  </si>
  <si>
    <t xml:space="preserve">TAK → kontrola systemu połączonego co 3 lata</t>
  </si>
  <si>
    <t xml:space="preserve">Najwcześniejszy termin kolejnej kontroli w systemie</t>
  </si>
  <si>
    <t xml:space="preserve">Etap1 F2-10</t>
  </si>
  <si>
    <t xml:space="preserve">Data graniczna dla całego systemu — ta data trafia do harmonogramu EM</t>
  </si>
  <si>
    <t xml:space="preserve">STATUS COMPLIANCE SYSTEMU GRZEWCZEGO</t>
  </si>
  <si>
    <t xml:space="preserve">OBLICZONA · KLUCZOWE</t>
  </si>
  <si>
    <t xml:space="preserve"> Automatyczna ocena na podstawie tabeli urządzeń. Wynik trafia do Raportu Konsultanta.</t>
  </si>
  <si>
    <t xml:space="preserve">  ENESA  ·  A-EnMS-HTG-SYS-01  ·  ETAP 2 DTR  ·  Wersja 3.1  ·  Sekcja 6: Ustawa o char. energet. 29.08.2014 + Rozp. MRiT 14.03.2023</t>
  </si>
  <si>
    <t xml:space="preserve">PASZPORT SYSTEMU GRZEWCZEGO  ·  A-EnMS-HTG-SYS-01</t>
  </si>
  <si>
    <t xml:space="preserve">System Zarządzania Energią ISO 50001  ·  ENESA  ·  PN-EN 15316 · EU EcoDesign  ·  Wersja 3.0</t>
  </si>
  <si>
    <t xml:space="preserve">ID SYSTEMU:</t>
  </si>
  <si>
    <t xml:space="preserve">Status:</t>
  </si>
  <si>
    <t xml:space="preserve">  1.  IDENTYFIKACJA SYSTEMU</t>
  </si>
  <si>
    <t xml:space="preserve">Zakład / Organizacja</t>
  </si>
  <si>
    <t xml:space="preserve">[z nagłówka]</t>
  </si>
  <si>
    <t xml:space="preserve">Główne paliwo</t>
  </si>
  <si>
    <t xml:space="preserve">[z Etap1 A-03]</t>
  </si>
  <si>
    <t xml:space="preserve">Liczba urządzeń grzewczych</t>
  </si>
  <si>
    <t xml:space="preserve">[z tabeli Sek.1]</t>
  </si>
  <si>
    <t xml:space="preserve">Łączna moc zainstalowana [kW]</t>
  </si>
  <si>
    <t xml:space="preserve">[z Sek.1 SUMA]</t>
  </si>
  <si>
    <t xml:space="preserve">Moc szczytowa zapotrzebowania [kW]</t>
  </si>
  <si>
    <t xml:space="preserve">[z Etap1 E-01]</t>
  </si>
  <si>
    <t xml:space="preserve">Wskaźnik przewymiarowania</t>
  </si>
  <si>
    <t xml:space="preserve">[moc_zainstal. / moc_zapotrzeb.]</t>
  </si>
  <si>
    <t xml:space="preserve">Typ instalacji odbiorczej</t>
  </si>
  <si>
    <t xml:space="preserve">[z Etap1 B-01]</t>
  </si>
  <si>
    <t xml:space="preserve">Regulacja pogodowa</t>
  </si>
  <si>
    <t xml:space="preserve">[z Etap1 C-03]</t>
  </si>
  <si>
    <t xml:space="preserve">Harmonogram nocny / weekendowy</t>
  </si>
  <si>
    <t xml:space="preserve">[z Etap1 C-04]</t>
  </si>
  <si>
    <t xml:space="preserve">OZE w systemie</t>
  </si>
  <si>
    <t xml:space="preserve">[z Etap1 A-04]</t>
  </si>
  <si>
    <t xml:space="preserve">  2.  KLUCZOWE WSKAŹNIKI EnPI SYSTEMU GRZEWCZEGO  ★</t>
  </si>
  <si>
    <t xml:space="preserve">Wskaźnik</t>
  </si>
  <si>
    <t xml:space="preserve">Jednostka</t>
  </si>
  <si>
    <t xml:space="preserve">Benchmark</t>
  </si>
  <si>
    <t xml:space="preserve">Klasyfikacja</t>
  </si>
  <si>
    <t xml:space="preserve">Sprawność systemu η_sys</t>
  </si>
  <si>
    <t xml:space="preserve">[z DTR Sek.3]</t>
  </si>
  <si>
    <t xml:space="preserve">Kond. &gt;90% · Niskotemp. 85-90% · Konw. 75-85% · &lt;75% zły</t>
  </si>
  <si>
    <t xml:space="preserve">[auto]</t>
  </si>
  <si>
    <t xml:space="preserve">Straty dystrybucji</t>
  </si>
  <si>
    <t xml:space="preserve">&lt;3% dobry · 3-8% przeciętny · &gt;8% złe — nieizolowane rury</t>
  </si>
  <si>
    <t xml:space="preserve">EnPI powierzchniowy</t>
  </si>
  <si>
    <t xml:space="preserve">Biura &lt;100 · Hale lekkie &lt;150 · Hale ciężkie &lt;250 · Procesy hot &lt;350</t>
  </si>
  <si>
    <t xml:space="preserve">Walidacja |ΔE|</t>
  </si>
  <si>
    <t xml:space="preserve">≤5% zatwierdzony · ≤10% warunkowo</t>
  </si>
  <si>
    <t xml:space="preserve">Łączny koszt paliwa [zł/rok]</t>
  </si>
  <si>
    <t xml:space="preserve">Podstawa priorytetyzacji inwestycji</t>
  </si>
  <si>
    <t xml:space="preserve">Potencjał — regulacja pogodowa</t>
  </si>
  <si>
    <t xml:space="preserve">~12% E_paliwo</t>
  </si>
  <si>
    <t xml:space="preserve">Potencjał — obniżenie T nocne</t>
  </si>
  <si>
    <t xml:space="preserve">~15% E_paliwo</t>
  </si>
  <si>
    <t xml:space="preserve">  3.  ZESTAWIENIE URZĄDZEŃ GRZEWCZYCH</t>
  </si>
  <si>
    <t xml:space="preserve">ID / Urządzenie</t>
  </si>
  <si>
    <t xml:space="preserve">E_ciepło
[MWh/rok]</t>
  </si>
  <si>
    <t xml:space="preserve">[HTG-01]</t>
  </si>
  <si>
    <t xml:space="preserve">[HTG-02]</t>
  </si>
  <si>
    <t xml:space="preserve">[HTG-03]</t>
  </si>
  <si>
    <t xml:space="preserve">[HTG-04]</t>
  </si>
  <si>
    <t xml:space="preserve">[HTG-05]</t>
  </si>
  <si>
    <t xml:space="preserve">[HTG-06]</t>
  </si>
  <si>
    <t xml:space="preserve">  4.  COMPLIANCE I STAN TECHNICZNY</t>
  </si>
  <si>
    <t xml:space="preserve">Audyt energetyczny systemu grzewczego</t>
  </si>
  <si>
    <t xml:space="preserve">[z Etap1 E-03]</t>
  </si>
  <si>
    <t xml:space="preserve">Co 4 lata — Ustawa EfEn art. 36</t>
  </si>
  <si>
    <t xml:space="preserve">Regulacja hydrauliczna</t>
  </si>
  <si>
    <t xml:space="preserve">[z Etap1 E-04]</t>
  </si>
  <si>
    <t xml:space="preserve">Zalecana co 5-10 lat</t>
  </si>
  <si>
    <t xml:space="preserve">Roczne przeglądy kotłów (protokoły)</t>
  </si>
  <si>
    <t xml:space="preserve">[z paszportów urządzeń A-32]</t>
  </si>
  <si>
    <t xml:space="preserve">Obowiązek — kotły gazowe</t>
  </si>
  <si>
    <t xml:space="preserve">Pompy cyrkulacyjne EC</t>
  </si>
  <si>
    <t xml:space="preserve">[z Etap1 B-06]</t>
  </si>
  <si>
    <t xml:space="preserve">TAK=OK · NIE=potencjał 30-60% energii pomp</t>
  </si>
  <si>
    <t xml:space="preserve">Zawory termostatyczne przy odbiornikach</t>
  </si>
  <si>
    <t xml:space="preserve">[z Etap1 B-08]</t>
  </si>
  <si>
    <t xml:space="preserve">TAK=OK · NIE=brak regulacji</t>
  </si>
  <si>
    <t xml:space="preserve">Ciepłomierze zainstalowane</t>
  </si>
  <si>
    <t xml:space="preserve">[z Etap1 C-07]</t>
  </si>
  <si>
    <t xml:space="preserve">Wymagane ISO 50001 dla SEU</t>
  </si>
  <si>
    <t xml:space="preserve">Problemy stref — za zimno/za gorąco</t>
  </si>
  <si>
    <t xml:space="preserve">[z Etap1 E-05]</t>
  </si>
  <si>
    <t xml:space="preserve">NIE=OK · TAK=regulacja hydraul.</t>
  </si>
  <si>
    <t xml:space="preserve">  5.  ZATWIERDZENIE PASZPORTU SYSTEMU HTG</t>
  </si>
  <si>
    <t xml:space="preserve">Energy Manager:</t>
  </si>
  <si>
    <t xml:space="preserve">Podpis: ________________</t>
  </si>
  <si>
    <t xml:space="preserve">Data:</t>
  </si>
  <si>
    <t xml:space="preserve">________________</t>
  </si>
  <si>
    <t xml:space="preserve">  6.  COMPLIANCE PRAWNY — USTAWA O CHARAKTERYSTYCE ENERGETYCZNEJ BUDYNKÓW</t>
  </si>
  <si>
    <t xml:space="preserve">  ★ Niezgodności prawne stwierdzone w tym bloku → wpisz do Rejestru Wymagań Prawnych Z-ZSZ-REG-01  ·  Kara za brak kontroli: grzywna wg art. 41 pkt 3 ustawy + niezgodność ISO 50001 kl. 9.1</t>
  </si>
  <si>
    <t xml:space="preserve">STATUS COMPLIANCE SYSTEMU</t>
  </si>
  <si>
    <t xml:space="preserve">[z DTR Sek.6 — STATUS]</t>
  </si>
  <si>
    <t xml:space="preserve">Kluczowy wynik — ✅ / ⚠️ / ❌</t>
  </si>
  <si>
    <t xml:space="preserve">Liczba urządzeń NIEZGODNYCH</t>
  </si>
  <si>
    <t xml:space="preserve">[z DTR Sek.6]</t>
  </si>
  <si>
    <t xml:space="preserve">Każda = wpis do Z-ZSZ-REG-01</t>
  </si>
  <si>
    <t xml:space="preserve">Data ostatniej kontroli systemu</t>
  </si>
  <si>
    <t xml:space="preserve">[z Etap1 F2-02]</t>
  </si>
  <si>
    <t xml:space="preserve">Najstarsza data z urządzeń</t>
  </si>
  <si>
    <t xml:space="preserve">Termin kolejnej kontroli (najwcześniejszy)</t>
  </si>
  <si>
    <t xml:space="preserve">[z Etap1 F2-10]</t>
  </si>
  <si>
    <t xml:space="preserve">Data graniczna</t>
  </si>
  <si>
    <t xml:space="preserve">Protokoły w rejestrze e-CR</t>
  </si>
  <si>
    <t xml:space="preserve">[z Etap1 F2-04]</t>
  </si>
  <si>
    <t xml:space="preserve">✅ wszystkie / ❌ brak / ⚠️ częściowe</t>
  </si>
  <si>
    <t xml:space="preserve">Zwolnienie z kontroli (ESCO/operator)</t>
  </si>
  <si>
    <t xml:space="preserve">[z Etap1 F2-07/F2-08]</t>
  </si>
  <si>
    <t xml:space="preserve">TAK=zwolniony / NIE=obowiązkowy</t>
  </si>
  <si>
    <t xml:space="preserve">System HTG+VAC połączony &gt;70 kW</t>
  </si>
  <si>
    <t xml:space="preserve">[z Etap1 F2-09]</t>
  </si>
  <si>
    <t xml:space="preserve">TAK=co 3 lata / NIE=wg kotłów</t>
  </si>
  <si>
    <t xml:space="preserve">Lista niezgodności do Z-ZSZ-REG-01</t>
  </si>
  <si>
    <t xml:space="preserve">[z Etap1 F2-11 i DTR Sek.6]</t>
  </si>
  <si>
    <t xml:space="preserve">Każda niezgodność = osobny wpis w rejestrze wymagań prawnych</t>
  </si>
  <si>
    <t xml:space="preserve">  ENESA  ·  A-EnMS-HTG-SYS-01  ·  Paszport Systemu Grzewczego  ·  Wersja 3.1</t>
  </si>
  <si>
    <t xml:space="preserve">ENESA  ·  SYSTEM PROMPT — AGENT 1  ·  HTG</t>
  </si>
  <si>
    <t xml:space="preserve">Skopiuj od wiersza 5 do ###DANE_KOMPLETNE### do konfiguracji Agenta 1</t>
  </si>
  <si>
    <t xml:space="preserve">⚠️  Mapowanie JSON — patrz wiersze po ###DANE_KOMPLETNE###</t>
  </si>
  <si>
    <t xml:space="preserve">── POCZĄTEK SYSTEM PROMPTU ──</t>
  </si>
  <si>
    <t xml:space="preserve">Jesteś Agentem 1 (Scout) ENESA — przeprowadzasz systemowy przegląd SYSTEMU GRZEWCZEGO zakładu.</t>
  </si>
  <si>
    <t xml:space="preserve">Rozmawiasz z Energy Managerem lub Konsultantem ENESA — osobą z dostępem do faktur i sterowników.</t>
  </si>
  <si>
    <t xml:space="preserve"> === RÓŻNICA WOBEC PASZPORTU URZĄDZENIA HTG ===</t>
  </si>
  <si>
    <t xml:space="preserve">Paszport urządzenia (A-EnMS-HTG-01): dane jednego kotła / pompy ciepła przez pracownika UR.</t>
  </si>
  <si>
    <t xml:space="preserve">Ten paszport (A-EnMS-HTG-SYS-01): systemowy przegląd całego systemu grzewczego zakładu.</t>
  </si>
  <si>
    <t xml:space="preserve">Wymagane dane: struktura źródeł ciepła, sieć dystrybucji, sterowanie, zużycie paliwa (faktury).</t>
  </si>
  <si>
    <t xml:space="preserve"> === BLOKI PYTAŃ (A-E) ===</t>
  </si>
  <si>
    <t xml:space="preserve">BLOK A — Źródła ciepła (tabela + pytania A-01 do A-05):</t>
  </si>
  <si>
    <t xml:space="preserve">Zbierz dane dla każdego urządzenia grzewczego: ID, typ, moc, sprawność sezonowa, rola.</t>
  </si>
  <si>
    <t xml:space="preserve">A-01: łączna moc. A-02: wiek systemu. A-03: główne paliwo. A-04: OZE. A-05: redundancja.</t>
  </si>
  <si>
    <t xml:space="preserve">BLOK B — Sieć dystrybucji (B-01 do B-08):</t>
  </si>
  <si>
    <t xml:space="preserve">B-01: typ instalacji (grzejnikowa/podłogowa/nagrzewnice). B-02/B-03: temp. zasilania/powrotu.</t>
  </si>
  <si>
    <t xml:space="preserve">★ B-03 KLUCZOWE: T_powrotu &lt;57°C = kondensacja aktywna = kocioł pracuje optymalnie.</t>
  </si>
  <si>
    <t xml:space="preserve">B-04: izolacja rur. B-05: wiek sieci. B-06: pompy EC. B-07: moc pomp. B-08: zawory regulacyjne.</t>
  </si>
  <si>
    <t xml:space="preserve">BLOK C — Sterowanie (C-01 do C-07):</t>
  </si>
  <si>
    <t xml:space="preserve">C-01: BMS. C-02: kaskada. C-03: regulacja pogodowa. C-04: harmonogram nocny.</t>
  </si>
  <si>
    <t xml:space="preserve">★ C-03 KLUCZOWE: brak regulacji pogodowej = 12% potencjał oszczędności.</t>
  </si>
  <si>
    <t xml:space="preserve">C-05: nastawy dzień/noc. C-06: termostaty strefowe. C-07: ciepłomierze strefowe.</t>
  </si>
  <si>
    <t xml:space="preserve">BLOK D — Dane energetyczne (D-01 do D-08):</t>
  </si>
  <si>
    <t xml:space="preserve">D-01: gaz [m³/rok]. D-02: olej [l/rok]. D-03: biomasa [t/rok]. D-04: ciepłomierz [GJ/rok].</t>
  </si>
  <si>
    <t xml:space="preserve">D-05: koszt łączny paliwa. D-06/D-07/D-08: podział % na ogrzewanie/CWU/procesy.</t>
  </si>
  <si>
    <t xml:space="preserve">BLOK E — Zapotrzebowanie i zgodność (E-01 do E-06):</t>
  </si>
  <si>
    <t xml:space="preserve">E-01: moc obliczeniowa. E-02: wskaźnik wykorzystania. E-03: audyt energetyczny.</t>
  </si>
  <si>
    <t xml:space="preserve">E-04: regulacja hydrauliczna. E-05: problemy strefowe. E-06: długość sezonu grzewczego.</t>
  </si>
  <si>
    <t xml:space="preserve"> === PO ZAKOŃCZENIU ===</t>
  </si>
  <si>
    <t xml:space="preserve">Wpisz: ###DANE_KOMPLETNE###</t>
  </si>
  <si>
    <t xml:space="preserve"> === MAPOWANIE JSON ===</t>
  </si>
  <si>
    <t xml:space="preserve">{</t>
  </si>
  <si>
    <t xml:space="preserve">  'boiler_count': 'A-01 (liczba z tabeli)',</t>
  </si>
  <si>
    <t xml:space="preserve">  'total_installed_power_kw': 'A-01 (suma)',</t>
  </si>
  <si>
    <t xml:space="preserve">  'system_age_year': 'A-02',</t>
  </si>
  <si>
    <t xml:space="preserve">  'main_fuel': 'A-03',</t>
  </si>
  <si>
    <t xml:space="preserve">  'has_res': 'A-04',</t>
  </si>
  <si>
    <t xml:space="preserve">  'installation_type': 'B-01',</t>
  </si>
  <si>
    <t xml:space="preserve">  'avg_supply_temp': 'B-02',</t>
  </si>
  <si>
    <t xml:space="preserve">  'avg_return_temp': 'B-03',</t>
  </si>
  <si>
    <t xml:space="preserve">  'pipes_insulated': 'B-04',</t>
  </si>
  <si>
    <t xml:space="preserve">  'has_ec_pumps': 'B-06',</t>
  </si>
  <si>
    <t xml:space="preserve">  'pump_power_total_kw': 'B-07',</t>
  </si>
  <si>
    <t xml:space="preserve">  'has_thermostatic_valves': 'B-08',</t>
  </si>
  <si>
    <t xml:space="preserve">  'has_bms': 'C-01',</t>
  </si>
  <si>
    <t xml:space="preserve">  'has_cascade': 'C-02',</t>
  </si>
  <si>
    <t xml:space="preserve">  'has_weather_comp': 'C-03',</t>
  </si>
  <si>
    <t xml:space="preserve">  'has_night_setback': 'C-04',</t>
  </si>
  <si>
    <t xml:space="preserve">  'setpoint_day': 'C-05 (dzień)',</t>
  </si>
  <si>
    <t xml:space="preserve">  'setpoint_night': 'C-05 (noc)',</t>
  </si>
  <si>
    <t xml:space="preserve">  'gas_consumption_m3': 'D-01',</t>
  </si>
  <si>
    <t xml:space="preserve">  'oil_consumption_l': 'D-02',</t>
  </si>
  <si>
    <t xml:space="preserve">  'biomass_consumption_t': 'D-03',</t>
  </si>
  <si>
    <t xml:space="preserve">  'heat_production_gj': 'D-04',</t>
  </si>
  <si>
    <t xml:space="preserve">  'fuel_cost_pln': 'D-05',</t>
  </si>
  <si>
    <t xml:space="preserve">  'heating_pct': 'D-06',</t>
  </si>
  <si>
    <t xml:space="preserve">  'hwt_pct': 'D-07',</t>
  </si>
  <si>
    <t xml:space="preserve">  'process_heat_pct': 'D-08',</t>
  </si>
  <si>
    <t xml:space="preserve">  'design_power_kw': 'E-01',</t>
  </si>
  <si>
    <t xml:space="preserve">  'has_energy_audit': 'E-03',</t>
  </si>
  <si>
    <t xml:space="preserve">  'has_hydraulic_balance': 'E-04',</t>
  </si>
  <si>
    <t xml:space="preserve">  'heating_season_months': 'E-06'</t>
  </si>
  <si>
    <t xml:space="preserve">}</t>
  </si>
  <si>
    <t xml:space="preserve">── KONIEC SYSTEM PROMPTU ──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</si>
</sst>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9"/>
      <color rgb="FF1A3A5C"/>
      <name val="Arial"/>
      <family val="0"/>
      <charset val="1"/>
    </font>
    <font>
      <sz val="9"/>
      <color rgb="FF1A3A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E8772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A3A5C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i val="true"/>
      <sz val="10"/>
      <color rgb="FF1A7A6E"/>
      <name val="Arial"/>
      <family val="0"/>
      <charset val="1"/>
    </font>
    <font>
      <b val="true"/>
      <sz val="10"/>
      <color rgb="FFB7950B"/>
      <name val="Arial"/>
      <family val="0"/>
      <charset val="1"/>
    </font>
    <font>
      <sz val="10"/>
      <color rgb="FF000080"/>
      <name val="Arial"/>
      <family val="0"/>
      <charset val="1"/>
    </font>
    <font>
      <sz val="9"/>
      <color rgb="FF000080"/>
      <name val="Arial"/>
      <family val="0"/>
      <charset val="1"/>
    </font>
    <font>
      <i val="true"/>
      <sz val="10"/>
      <color rgb="FFC0392B"/>
      <name val="Arial"/>
      <family val="0"/>
      <charset val="1"/>
    </font>
    <font>
      <b val="true"/>
      <sz val="11"/>
      <color rgb="FF1A3A5C"/>
      <name val="Arial"/>
      <family val="0"/>
      <charset val="1"/>
    </font>
    <font>
      <sz val="11"/>
      <color rgb="FFC0392B"/>
      <name val="Arial"/>
      <family val="0"/>
      <charset val="1"/>
    </font>
    <font>
      <sz val="11"/>
      <color rgb="FF1A3A5C"/>
      <name val="Arial"/>
      <family val="0"/>
      <charset val="1"/>
    </font>
    <font>
      <b val="true"/>
      <sz val="10"/>
      <color rgb="FFE87722"/>
      <name val="Arial"/>
      <family val="0"/>
      <charset val="1"/>
    </font>
    <font>
      <b val="true"/>
      <sz val="10"/>
      <color rgb="FF1E7B34"/>
      <name val="Arial"/>
      <family val="0"/>
      <charset val="1"/>
    </font>
    <font>
      <sz val="9"/>
      <color rgb="FF1A1A2E"/>
      <name val="Courier New"/>
      <family val="0"/>
      <charset val="1"/>
    </font>
    <font>
      <sz val="9"/>
      <name val="Courier New"/>
      <family val="0"/>
      <charset val="1"/>
    </font>
    <font>
      <b val="true"/>
      <sz val="10"/>
      <color rgb="FFE87722"/>
      <name val="Courier New"/>
      <family val="0"/>
      <charset val="1"/>
    </font>
    <font>
      <b val="true"/>
      <sz val="10"/>
      <color rgb="FFC0392B"/>
      <name val="Courier New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E87722"/>
        <bgColor rgb="FFFF9900"/>
      </patternFill>
    </fill>
    <fill>
      <patternFill patternType="solid">
        <fgColor rgb="FFFCE8D5"/>
        <bgColor rgb="FFFFF2CC"/>
      </patternFill>
    </fill>
    <fill>
      <patternFill patternType="solid">
        <fgColor rgb="FFFFF2CC"/>
        <bgColor rgb="FFFCE8D5"/>
      </patternFill>
    </fill>
    <fill>
      <patternFill patternType="solid">
        <fgColor rgb="FF1A3A5C"/>
        <bgColor rgb="FF333399"/>
      </patternFill>
    </fill>
    <fill>
      <patternFill patternType="solid">
        <fgColor rgb="FFFFFFFF"/>
        <bgColor rgb="FFFEF9E7"/>
      </patternFill>
    </fill>
    <fill>
      <patternFill patternType="solid">
        <fgColor rgb="FFF4F4F4"/>
        <bgColor rgb="FFF0F4F8"/>
      </patternFill>
    </fill>
    <fill>
      <patternFill patternType="solid">
        <fgColor rgb="FF2E6DA4"/>
        <bgColor rgb="FF1A7A6E"/>
      </patternFill>
    </fill>
    <fill>
      <patternFill patternType="solid">
        <fgColor rgb="FF1A7A6E"/>
        <bgColor rgb="FF008080"/>
      </patternFill>
    </fill>
    <fill>
      <patternFill patternType="solid">
        <fgColor rgb="FFC0392B"/>
        <bgColor rgb="FF993366"/>
      </patternFill>
    </fill>
    <fill>
      <patternFill patternType="solid">
        <fgColor rgb="FFFADBD8"/>
        <bgColor rgb="FFFCE8D5"/>
      </patternFill>
    </fill>
    <fill>
      <patternFill patternType="solid">
        <fgColor rgb="FFEBF3FB"/>
        <bgColor rgb="FFF0F4F8"/>
      </patternFill>
    </fill>
    <fill>
      <patternFill patternType="solid">
        <fgColor rgb="FFD0EEEB"/>
        <bgColor rgb="FFD9F0E0"/>
      </patternFill>
    </fill>
    <fill>
      <patternFill patternType="solid">
        <fgColor rgb="FFD6E4F0"/>
        <bgColor rgb="FFD0EEEB"/>
      </patternFill>
    </fill>
    <fill>
      <patternFill patternType="solid">
        <fgColor rgb="FFFEF9E7"/>
        <bgColor rgb="FFF4F4F4"/>
      </patternFill>
    </fill>
    <fill>
      <patternFill patternType="solid">
        <fgColor rgb="FFF0F4F8"/>
        <bgColor rgb="FFF4F4F4"/>
      </patternFill>
    </fill>
    <fill>
      <patternFill patternType="solid">
        <fgColor rgb="FFD9F0E0"/>
        <bgColor rgb="FFD0EEEB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E87722"/>
      </left>
      <right style="thin">
        <color rgb="FFE87722"/>
      </right>
      <top style="thin">
        <color rgb="FFE87722"/>
      </top>
      <bottom style="thin">
        <color rgb="FFE87722"/>
      </bottom>
      <diagonal/>
    </border>
    <border diagonalUp="false" diagonalDown="false">
      <left style="thin">
        <color rgb="FF1A3A5C"/>
      </left>
      <right style="thin">
        <color rgb="FF1A3A5C"/>
      </right>
      <top style="thin">
        <color rgb="FF1A3A5C"/>
      </top>
      <bottom style="thin">
        <color rgb="FF1A3A5C"/>
      </bottom>
      <diagonal/>
    </border>
    <border diagonalUp="false" diagonalDown="false"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B7950B"/>
      <rgbColor rgb="FF800080"/>
      <rgbColor rgb="FF1A7A6E"/>
      <rgbColor rgb="FFCCCCCC"/>
      <rgbColor rgb="FF7F7F7F"/>
      <rgbColor rgb="FF9999FF"/>
      <rgbColor rgb="FF993366"/>
      <rgbColor rgb="FFFFF2CC"/>
      <rgbColor rgb="FFD0EEEB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9F0E0"/>
      <rgbColor rgb="FFFEF9E7"/>
      <rgbColor rgb="FFF0F4F8"/>
      <rgbColor rgb="FFFCE8D5"/>
      <rgbColor rgb="FFF4F4F4"/>
      <rgbColor rgb="FFFADBD8"/>
      <rgbColor rgb="FF3366FF"/>
      <rgbColor rgb="FF33CCCC"/>
      <rgbColor rgb="FF99CC00"/>
      <rgbColor rgb="FFFFCC00"/>
      <rgbColor rgb="FFFF9900"/>
      <rgbColor rgb="FFE87722"/>
      <rgbColor rgb="FF666699"/>
      <rgbColor rgb="FF969696"/>
      <rgbColor rgb="FF1A3A5C"/>
      <rgbColor rgb="FF339966"/>
      <rgbColor rgb="FF003300"/>
      <rgbColor rgb="FF333300"/>
      <rgbColor rgb="FFC0392B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7722"/>
    <pageSetUpPr fitToPage="false"/>
  </sheetPr>
  <dimension ref="A1:E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52"/>
    <col collapsed="false" customWidth="true" hidden="false" outlineLevel="0" max="3" min="3" style="1" width="28"/>
    <col collapsed="false" customWidth="true" hidden="false" outlineLevel="0" max="4" min="4" style="1" width="10"/>
    <col collapsed="false" customWidth="true" hidden="false" outlineLevel="0" max="5" min="5" style="1" width="42"/>
  </cols>
  <sheetData>
    <row r="1" customFormat="false" ht="42" hidden="false" customHeight="true" outlineLevel="0" collapsed="false">
      <c r="A1" s="2" t="s">
        <v>0</v>
      </c>
      <c r="B1" s="2"/>
      <c r="C1" s="2"/>
      <c r="D1" s="2"/>
      <c r="E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</row>
    <row r="3" customFormat="false" ht="19.5" hidden="false" customHeight="true" outlineLevel="0" collapsed="false">
      <c r="A3" s="4" t="s">
        <v>2</v>
      </c>
      <c r="B3" s="5"/>
      <c r="C3" s="4" t="s">
        <v>3</v>
      </c>
      <c r="D3" s="5"/>
      <c r="E3" s="4" t="s">
        <v>4</v>
      </c>
    </row>
    <row r="4" customFormat="false" ht="19.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</row>
    <row r="5" customFormat="false" ht="21.75" hidden="false" customHeight="true" outlineLevel="0" collapsed="false">
      <c r="A5" s="7" t="s">
        <v>10</v>
      </c>
      <c r="B5" s="7"/>
      <c r="C5" s="7"/>
      <c r="D5" s="7"/>
      <c r="E5" s="7"/>
    </row>
    <row r="6" customFormat="false" ht="30" hidden="false" customHeight="true" outlineLevel="0" collapsed="false">
      <c r="A6" s="8" t="s">
        <v>11</v>
      </c>
      <c r="B6" s="8"/>
      <c r="C6" s="8"/>
      <c r="D6" s="8"/>
      <c r="E6" s="8"/>
    </row>
    <row r="7" customFormat="false" ht="18" hidden="false" customHeight="true" outlineLevel="0" collapsed="false">
      <c r="A7" s="9" t="s">
        <v>12</v>
      </c>
    </row>
    <row r="8" customFormat="false" ht="15" hidden="false" customHeight="true" outlineLevel="0" collapsed="false">
      <c r="B8" s="9" t="s">
        <v>13</v>
      </c>
    </row>
    <row r="9" customFormat="false" ht="15" hidden="false" customHeight="true" outlineLevel="0" collapsed="false">
      <c r="C9" s="9" t="s">
        <v>14</v>
      </c>
    </row>
    <row r="10" customFormat="false" ht="15" hidden="false" customHeight="true" outlineLevel="0" collapsed="false">
      <c r="D10" s="9" t="s">
        <v>15</v>
      </c>
    </row>
    <row r="11" customFormat="false" ht="15" hidden="false" customHeight="true" outlineLevel="0" collapsed="false">
      <c r="E11" s="9" t="s">
        <v>16</v>
      </c>
    </row>
    <row r="12" customFormat="false" ht="21.75" hidden="false" customHeight="true" outlineLevel="0" collapsed="false">
      <c r="A12" s="10"/>
      <c r="B12" s="10"/>
      <c r="C12" s="10"/>
      <c r="D12" s="10"/>
      <c r="E12" s="10"/>
    </row>
    <row r="13" customFormat="false" ht="21.75" hidden="false" customHeight="true" outlineLevel="0" collapsed="false">
      <c r="A13" s="11"/>
      <c r="B13" s="11"/>
      <c r="C13" s="11"/>
      <c r="D13" s="11"/>
      <c r="E13" s="11"/>
    </row>
    <row r="14" customFormat="false" ht="21.75" hidden="false" customHeight="true" outlineLevel="0" collapsed="false">
      <c r="A14" s="10"/>
      <c r="B14" s="10"/>
      <c r="C14" s="10"/>
      <c r="D14" s="10"/>
      <c r="E14" s="10"/>
    </row>
    <row r="15" customFormat="false" ht="21.75" hidden="false" customHeight="true" outlineLevel="0" collapsed="false">
      <c r="A15" s="11"/>
      <c r="B15" s="11"/>
      <c r="C15" s="11"/>
      <c r="D15" s="11"/>
      <c r="E15" s="11"/>
    </row>
    <row r="16" customFormat="false" ht="21.75" hidden="false" customHeight="true" outlineLevel="0" collapsed="false">
      <c r="A16" s="10"/>
      <c r="B16" s="10"/>
      <c r="C16" s="10"/>
      <c r="D16" s="10"/>
      <c r="E16" s="10"/>
    </row>
    <row r="17" customFormat="false" ht="21.75" hidden="false" customHeight="true" outlineLevel="0" collapsed="false">
      <c r="A17" s="11"/>
      <c r="B17" s="11"/>
      <c r="C17" s="11"/>
      <c r="D17" s="11"/>
      <c r="E17" s="11"/>
    </row>
    <row r="18" customFormat="false" ht="21.75" hidden="false" customHeight="true" outlineLevel="0" collapsed="false">
      <c r="A18" s="12" t="s">
        <v>17</v>
      </c>
      <c r="B18" s="11"/>
      <c r="C18" s="11"/>
      <c r="D18" s="11"/>
      <c r="E18" s="11"/>
    </row>
    <row r="19" customFormat="false" ht="31.5" hidden="false" customHeight="true" outlineLevel="0" collapsed="false">
      <c r="A19" s="13" t="s">
        <v>18</v>
      </c>
      <c r="B19" s="14" t="s">
        <v>19</v>
      </c>
      <c r="C19" s="10"/>
      <c r="D19" s="15" t="s">
        <v>20</v>
      </c>
      <c r="E19" s="16" t="s">
        <v>21</v>
      </c>
    </row>
    <row r="20" customFormat="false" ht="31.5" hidden="false" customHeight="true" outlineLevel="0" collapsed="false">
      <c r="A20" s="13" t="s">
        <v>22</v>
      </c>
      <c r="B20" s="14" t="s">
        <v>23</v>
      </c>
      <c r="C20" s="10"/>
      <c r="D20" s="15" t="s">
        <v>24</v>
      </c>
      <c r="E20" s="16" t="s">
        <v>25</v>
      </c>
    </row>
    <row r="21" customFormat="false" ht="31.5" hidden="false" customHeight="true" outlineLevel="0" collapsed="false">
      <c r="A21" s="13" t="s">
        <v>26</v>
      </c>
      <c r="B21" s="14" t="s">
        <v>27</v>
      </c>
      <c r="C21" s="10"/>
      <c r="D21" s="15"/>
      <c r="E21" s="16" t="s">
        <v>28</v>
      </c>
    </row>
    <row r="22" customFormat="false" ht="31.5" hidden="false" customHeight="true" outlineLevel="0" collapsed="false">
      <c r="A22" s="13" t="s">
        <v>29</v>
      </c>
      <c r="B22" s="14" t="s">
        <v>30</v>
      </c>
      <c r="C22" s="10"/>
      <c r="D22" s="15"/>
      <c r="E22" s="16" t="s">
        <v>31</v>
      </c>
    </row>
    <row r="23" customFormat="false" ht="31.5" hidden="false" customHeight="true" outlineLevel="0" collapsed="false">
      <c r="A23" s="13" t="s">
        <v>32</v>
      </c>
      <c r="B23" s="14" t="s">
        <v>33</v>
      </c>
      <c r="C23" s="10"/>
      <c r="D23" s="15"/>
      <c r="E23" s="16" t="s">
        <v>34</v>
      </c>
    </row>
    <row r="24" customFormat="false" ht="21.75" hidden="false" customHeight="true" outlineLevel="0" collapsed="false">
      <c r="A24" s="17" t="s">
        <v>35</v>
      </c>
      <c r="B24" s="17"/>
      <c r="C24" s="17"/>
      <c r="D24" s="17"/>
      <c r="E24" s="17"/>
    </row>
    <row r="25" customFormat="false" ht="31.5" hidden="false" customHeight="true" outlineLevel="0" collapsed="false">
      <c r="A25" s="13" t="s">
        <v>36</v>
      </c>
      <c r="B25" s="14" t="s">
        <v>37</v>
      </c>
      <c r="C25" s="10"/>
      <c r="D25" s="15"/>
      <c r="E25" s="16" t="s">
        <v>38</v>
      </c>
    </row>
    <row r="26" customFormat="false" ht="31.5" hidden="false" customHeight="true" outlineLevel="0" collapsed="false">
      <c r="A26" s="13" t="s">
        <v>39</v>
      </c>
      <c r="B26" s="14" t="s">
        <v>40</v>
      </c>
      <c r="C26" s="10"/>
      <c r="D26" s="15" t="s">
        <v>41</v>
      </c>
      <c r="E26" s="16" t="s">
        <v>42</v>
      </c>
    </row>
    <row r="27" customFormat="false" ht="31.5" hidden="false" customHeight="true" outlineLevel="0" collapsed="false">
      <c r="A27" s="13" t="s">
        <v>43</v>
      </c>
      <c r="B27" s="14" t="s">
        <v>44</v>
      </c>
      <c r="C27" s="10"/>
      <c r="D27" s="15" t="s">
        <v>41</v>
      </c>
      <c r="E27" s="16" t="s">
        <v>45</v>
      </c>
    </row>
    <row r="28" customFormat="false" ht="31.5" hidden="false" customHeight="true" outlineLevel="0" collapsed="false">
      <c r="A28" s="13" t="s">
        <v>46</v>
      </c>
      <c r="B28" s="14" t="s">
        <v>47</v>
      </c>
      <c r="C28" s="10"/>
      <c r="D28" s="15"/>
      <c r="E28" s="16" t="s">
        <v>48</v>
      </c>
    </row>
    <row r="29" customFormat="false" ht="31.5" hidden="false" customHeight="true" outlineLevel="0" collapsed="false">
      <c r="A29" s="13" t="s">
        <v>49</v>
      </c>
      <c r="B29" s="14" t="s">
        <v>50</v>
      </c>
      <c r="C29" s="10"/>
      <c r="D29" s="15" t="s">
        <v>24</v>
      </c>
      <c r="E29" s="16" t="s">
        <v>51</v>
      </c>
    </row>
    <row r="30" customFormat="false" ht="31.5" hidden="false" customHeight="true" outlineLevel="0" collapsed="false">
      <c r="A30" s="13" t="s">
        <v>52</v>
      </c>
      <c r="B30" s="14" t="s">
        <v>53</v>
      </c>
      <c r="C30" s="10"/>
      <c r="D30" s="15"/>
      <c r="E30" s="16" t="s">
        <v>54</v>
      </c>
    </row>
    <row r="31" customFormat="false" ht="31.5" hidden="false" customHeight="true" outlineLevel="0" collapsed="false">
      <c r="A31" s="13" t="s">
        <v>55</v>
      </c>
      <c r="B31" s="14" t="s">
        <v>56</v>
      </c>
      <c r="C31" s="10"/>
      <c r="D31" s="15" t="s">
        <v>20</v>
      </c>
      <c r="E31" s="16" t="s">
        <v>57</v>
      </c>
    </row>
    <row r="32" customFormat="false" ht="31.5" hidden="false" customHeight="true" outlineLevel="0" collapsed="false">
      <c r="A32" s="13" t="s">
        <v>58</v>
      </c>
      <c r="B32" s="14" t="s">
        <v>59</v>
      </c>
      <c r="C32" s="10"/>
      <c r="D32" s="15"/>
      <c r="E32" s="16" t="s">
        <v>60</v>
      </c>
    </row>
    <row r="33" customFormat="false" ht="21.75" hidden="false" customHeight="true" outlineLevel="0" collapsed="false">
      <c r="A33" s="18" t="s">
        <v>61</v>
      </c>
      <c r="B33" s="18"/>
      <c r="C33" s="18"/>
      <c r="D33" s="18"/>
      <c r="E33" s="18"/>
    </row>
    <row r="34" customFormat="false" ht="31.5" hidden="false" customHeight="true" outlineLevel="0" collapsed="false">
      <c r="A34" s="13" t="s">
        <v>62</v>
      </c>
      <c r="B34" s="14" t="s">
        <v>63</v>
      </c>
      <c r="C34" s="10"/>
      <c r="D34" s="15"/>
      <c r="E34" s="16" t="s">
        <v>64</v>
      </c>
    </row>
    <row r="35" customFormat="false" ht="31.5" hidden="false" customHeight="true" outlineLevel="0" collapsed="false">
      <c r="A35" s="13" t="s">
        <v>65</v>
      </c>
      <c r="B35" s="14" t="s">
        <v>66</v>
      </c>
      <c r="C35" s="10"/>
      <c r="D35" s="15"/>
      <c r="E35" s="16" t="s">
        <v>67</v>
      </c>
    </row>
    <row r="36" customFormat="false" ht="31.5" hidden="false" customHeight="true" outlineLevel="0" collapsed="false">
      <c r="A36" s="13" t="s">
        <v>68</v>
      </c>
      <c r="B36" s="14" t="s">
        <v>69</v>
      </c>
      <c r="C36" s="10"/>
      <c r="D36" s="15"/>
      <c r="E36" s="16" t="s">
        <v>70</v>
      </c>
    </row>
    <row r="37" customFormat="false" ht="31.5" hidden="false" customHeight="true" outlineLevel="0" collapsed="false">
      <c r="A37" s="13" t="s">
        <v>71</v>
      </c>
      <c r="B37" s="14" t="s">
        <v>72</v>
      </c>
      <c r="C37" s="10"/>
      <c r="D37" s="15"/>
      <c r="E37" s="16" t="s">
        <v>73</v>
      </c>
    </row>
    <row r="38" customFormat="false" ht="31.5" hidden="false" customHeight="true" outlineLevel="0" collapsed="false">
      <c r="A38" s="13" t="s">
        <v>74</v>
      </c>
      <c r="B38" s="14" t="s">
        <v>75</v>
      </c>
      <c r="C38" s="10"/>
      <c r="D38" s="15" t="s">
        <v>41</v>
      </c>
      <c r="E38" s="16" t="s">
        <v>76</v>
      </c>
    </row>
    <row r="39" customFormat="false" ht="31.5" hidden="false" customHeight="true" outlineLevel="0" collapsed="false">
      <c r="A39" s="13" t="s">
        <v>77</v>
      </c>
      <c r="B39" s="14" t="s">
        <v>78</v>
      </c>
      <c r="C39" s="10"/>
      <c r="D39" s="15"/>
      <c r="E39" s="16" t="s">
        <v>79</v>
      </c>
    </row>
    <row r="40" customFormat="false" ht="31.5" hidden="false" customHeight="true" outlineLevel="0" collapsed="false">
      <c r="A40" s="13" t="s">
        <v>80</v>
      </c>
      <c r="B40" s="14" t="s">
        <v>81</v>
      </c>
      <c r="C40" s="10"/>
      <c r="D40" s="15"/>
      <c r="E40" s="16" t="s">
        <v>82</v>
      </c>
    </row>
    <row r="41" customFormat="false" ht="21.75" hidden="false" customHeight="true" outlineLevel="0" collapsed="false">
      <c r="A41" s="19" t="s">
        <v>83</v>
      </c>
      <c r="B41" s="19"/>
      <c r="C41" s="19"/>
      <c r="D41" s="19"/>
      <c r="E41" s="19"/>
    </row>
    <row r="42" customFormat="false" ht="31.5" hidden="false" customHeight="true" outlineLevel="0" collapsed="false">
      <c r="A42" s="13" t="s">
        <v>84</v>
      </c>
      <c r="B42" s="14" t="s">
        <v>85</v>
      </c>
      <c r="C42" s="10"/>
      <c r="D42" s="15" t="s">
        <v>86</v>
      </c>
      <c r="E42" s="16" t="s">
        <v>87</v>
      </c>
    </row>
    <row r="43" customFormat="false" ht="31.5" hidden="false" customHeight="true" outlineLevel="0" collapsed="false">
      <c r="A43" s="13" t="s">
        <v>88</v>
      </c>
      <c r="B43" s="14" t="s">
        <v>89</v>
      </c>
      <c r="C43" s="10"/>
      <c r="D43" s="15" t="s">
        <v>90</v>
      </c>
      <c r="E43" s="16" t="s">
        <v>91</v>
      </c>
    </row>
    <row r="44" customFormat="false" ht="31.5" hidden="false" customHeight="true" outlineLevel="0" collapsed="false">
      <c r="A44" s="13" t="s">
        <v>92</v>
      </c>
      <c r="B44" s="14" t="s">
        <v>93</v>
      </c>
      <c r="C44" s="10"/>
      <c r="D44" s="15" t="s">
        <v>94</v>
      </c>
      <c r="E44" s="16" t="s">
        <v>95</v>
      </c>
    </row>
    <row r="45" customFormat="false" ht="31.5" hidden="false" customHeight="true" outlineLevel="0" collapsed="false">
      <c r="A45" s="13" t="s">
        <v>96</v>
      </c>
      <c r="B45" s="14" t="s">
        <v>97</v>
      </c>
      <c r="C45" s="10"/>
      <c r="D45" s="15" t="s">
        <v>98</v>
      </c>
      <c r="E45" s="16" t="s">
        <v>99</v>
      </c>
    </row>
    <row r="46" customFormat="false" ht="31.5" hidden="false" customHeight="true" outlineLevel="0" collapsed="false">
      <c r="A46" s="13" t="s">
        <v>100</v>
      </c>
      <c r="B46" s="14" t="s">
        <v>101</v>
      </c>
      <c r="C46" s="10"/>
      <c r="D46" s="15" t="s">
        <v>102</v>
      </c>
      <c r="E46" s="16" t="s">
        <v>103</v>
      </c>
    </row>
    <row r="47" customFormat="false" ht="31.5" hidden="false" customHeight="true" outlineLevel="0" collapsed="false">
      <c r="A47" s="13" t="s">
        <v>104</v>
      </c>
      <c r="B47" s="14" t="s">
        <v>105</v>
      </c>
      <c r="C47" s="10"/>
      <c r="D47" s="15" t="s">
        <v>106</v>
      </c>
      <c r="E47" s="16" t="s">
        <v>107</v>
      </c>
    </row>
    <row r="48" customFormat="false" ht="31.5" hidden="false" customHeight="true" outlineLevel="0" collapsed="false">
      <c r="A48" s="13" t="s">
        <v>108</v>
      </c>
      <c r="B48" s="14" t="s">
        <v>109</v>
      </c>
      <c r="C48" s="10"/>
      <c r="D48" s="15" t="s">
        <v>106</v>
      </c>
      <c r="E48" s="16" t="s">
        <v>110</v>
      </c>
    </row>
    <row r="49" customFormat="false" ht="31.5" hidden="false" customHeight="true" outlineLevel="0" collapsed="false">
      <c r="A49" s="13" t="s">
        <v>111</v>
      </c>
      <c r="B49" s="14" t="s">
        <v>112</v>
      </c>
      <c r="C49" s="10"/>
      <c r="D49" s="15" t="s">
        <v>106</v>
      </c>
      <c r="E49" s="16" t="s">
        <v>113</v>
      </c>
    </row>
    <row r="50" customFormat="false" ht="21.75" hidden="false" customHeight="true" outlineLevel="0" collapsed="false">
      <c r="A50" s="20" t="s">
        <v>114</v>
      </c>
      <c r="B50" s="20"/>
      <c r="C50" s="20"/>
      <c r="D50" s="20"/>
      <c r="E50" s="20"/>
    </row>
    <row r="51" customFormat="false" ht="31.5" hidden="false" customHeight="true" outlineLevel="0" collapsed="false">
      <c r="A51" s="13" t="s">
        <v>115</v>
      </c>
      <c r="B51" s="14" t="s">
        <v>116</v>
      </c>
      <c r="C51" s="10"/>
      <c r="D51" s="15" t="s">
        <v>20</v>
      </c>
      <c r="E51" s="16" t="s">
        <v>117</v>
      </c>
    </row>
    <row r="52" customFormat="false" ht="31.5" hidden="false" customHeight="true" outlineLevel="0" collapsed="false">
      <c r="A52" s="13" t="s">
        <v>118</v>
      </c>
      <c r="B52" s="14" t="s">
        <v>119</v>
      </c>
      <c r="C52" s="10"/>
      <c r="D52" s="15"/>
      <c r="E52" s="16" t="s">
        <v>120</v>
      </c>
    </row>
    <row r="53" customFormat="false" ht="31.5" hidden="false" customHeight="true" outlineLevel="0" collapsed="false">
      <c r="A53" s="13" t="s">
        <v>121</v>
      </c>
      <c r="B53" s="14" t="s">
        <v>122</v>
      </c>
      <c r="C53" s="10"/>
      <c r="D53" s="15"/>
      <c r="E53" s="16" t="s">
        <v>123</v>
      </c>
    </row>
    <row r="54" customFormat="false" ht="31.5" hidden="false" customHeight="true" outlineLevel="0" collapsed="false">
      <c r="A54" s="13" t="s">
        <v>124</v>
      </c>
      <c r="B54" s="14" t="s">
        <v>125</v>
      </c>
      <c r="C54" s="10"/>
      <c r="D54" s="15"/>
      <c r="E54" s="16" t="s">
        <v>126</v>
      </c>
    </row>
    <row r="55" customFormat="false" ht="31.5" hidden="false" customHeight="true" outlineLevel="0" collapsed="false">
      <c r="A55" s="13" t="s">
        <v>127</v>
      </c>
      <c r="B55" s="14" t="s">
        <v>128</v>
      </c>
      <c r="C55" s="10"/>
      <c r="D55" s="15"/>
      <c r="E55" s="16" t="s">
        <v>129</v>
      </c>
    </row>
    <row r="56" customFormat="false" ht="21.75" hidden="false" customHeight="true" outlineLevel="0" collapsed="false">
      <c r="A56" s="21" t="s">
        <v>130</v>
      </c>
      <c r="B56" s="21"/>
      <c r="C56" s="21"/>
      <c r="D56" s="21"/>
      <c r="E56" s="21"/>
    </row>
    <row r="57" customFormat="false" ht="48" hidden="false" customHeight="true" outlineLevel="0" collapsed="false">
      <c r="A57" s="22" t="s">
        <v>131</v>
      </c>
      <c r="B57" s="22"/>
      <c r="C57" s="22"/>
      <c r="D57" s="22"/>
      <c r="E57" s="22"/>
    </row>
    <row r="58" customFormat="false" ht="31.5" hidden="false" customHeight="true" outlineLevel="0" collapsed="false">
      <c r="A58" s="23" t="s">
        <v>132</v>
      </c>
      <c r="B58" s="14" t="s">
        <v>133</v>
      </c>
      <c r="C58" s="24"/>
      <c r="D58" s="15"/>
      <c r="E58" s="16" t="s">
        <v>134</v>
      </c>
    </row>
    <row r="59" customFormat="false" ht="31.5" hidden="false" customHeight="true" outlineLevel="0" collapsed="false">
      <c r="A59" s="23" t="s">
        <v>135</v>
      </c>
      <c r="B59" s="14" t="s">
        <v>136</v>
      </c>
      <c r="C59" s="10"/>
      <c r="D59" s="15"/>
      <c r="E59" s="16" t="s">
        <v>137</v>
      </c>
    </row>
    <row r="60" customFormat="false" ht="43.5" hidden="false" customHeight="true" outlineLevel="0" collapsed="false">
      <c r="A60" s="23" t="s">
        <v>138</v>
      </c>
      <c r="B60" s="14" t="s">
        <v>139</v>
      </c>
      <c r="C60" s="24"/>
      <c r="D60" s="15"/>
      <c r="E60" s="16" t="s">
        <v>140</v>
      </c>
    </row>
    <row r="61" customFormat="false" ht="43.5" hidden="false" customHeight="true" outlineLevel="0" collapsed="false">
      <c r="A61" s="23" t="s">
        <v>141</v>
      </c>
      <c r="B61" s="14" t="s">
        <v>142</v>
      </c>
      <c r="C61" s="24"/>
      <c r="D61" s="15"/>
      <c r="E61" s="16" t="s">
        <v>143</v>
      </c>
    </row>
    <row r="62" customFormat="false" ht="31.5" hidden="false" customHeight="true" outlineLevel="0" collapsed="false">
      <c r="A62" s="23" t="s">
        <v>144</v>
      </c>
      <c r="B62" s="14" t="s">
        <v>145</v>
      </c>
      <c r="C62" s="10"/>
      <c r="D62" s="15"/>
      <c r="E62" s="16" t="s">
        <v>146</v>
      </c>
    </row>
    <row r="63" customFormat="false" ht="31.5" hidden="false" customHeight="true" outlineLevel="0" collapsed="false">
      <c r="A63" s="23" t="s">
        <v>147</v>
      </c>
      <c r="B63" s="14" t="s">
        <v>148</v>
      </c>
      <c r="C63" s="24"/>
      <c r="D63" s="15"/>
      <c r="E63" s="16" t="s">
        <v>149</v>
      </c>
    </row>
    <row r="64" customFormat="false" ht="43.5" hidden="false" customHeight="true" outlineLevel="0" collapsed="false">
      <c r="A64" s="23" t="s">
        <v>150</v>
      </c>
      <c r="B64" s="14" t="s">
        <v>151</v>
      </c>
      <c r="C64" s="10"/>
      <c r="D64" s="15"/>
      <c r="E64" s="16" t="s">
        <v>152</v>
      </c>
    </row>
    <row r="65" customFormat="false" ht="43.5" hidden="false" customHeight="true" outlineLevel="0" collapsed="false">
      <c r="A65" s="23" t="s">
        <v>153</v>
      </c>
      <c r="B65" s="14" t="s">
        <v>154</v>
      </c>
      <c r="C65" s="10"/>
      <c r="D65" s="15"/>
      <c r="E65" s="16" t="s">
        <v>155</v>
      </c>
    </row>
    <row r="66" customFormat="false" ht="43.5" hidden="false" customHeight="true" outlineLevel="0" collapsed="false">
      <c r="A66" s="23" t="s">
        <v>156</v>
      </c>
      <c r="B66" s="14" t="s">
        <v>157</v>
      </c>
      <c r="C66" s="10"/>
      <c r="D66" s="15"/>
      <c r="E66" s="16" t="s">
        <v>158</v>
      </c>
    </row>
    <row r="67" customFormat="false" ht="43.5" hidden="false" customHeight="true" outlineLevel="0" collapsed="false">
      <c r="A67" s="23" t="s">
        <v>159</v>
      </c>
      <c r="B67" s="14" t="s">
        <v>160</v>
      </c>
      <c r="C67" s="10"/>
      <c r="D67" s="15"/>
      <c r="E67" s="16" t="s">
        <v>161</v>
      </c>
    </row>
    <row r="68" customFormat="false" ht="43.5" hidden="false" customHeight="true" outlineLevel="0" collapsed="false">
      <c r="A68" s="23" t="s">
        <v>162</v>
      </c>
      <c r="B68" s="14" t="s">
        <v>163</v>
      </c>
      <c r="C68" s="24"/>
      <c r="D68" s="15"/>
      <c r="E68" s="16" t="s">
        <v>164</v>
      </c>
    </row>
    <row r="69" customFormat="false" ht="13.5" hidden="false" customHeight="true" outlineLevel="0" collapsed="false">
      <c r="A69" s="25" t="s">
        <v>165</v>
      </c>
      <c r="B69" s="25"/>
      <c r="C69" s="25"/>
      <c r="D69" s="25"/>
      <c r="E69" s="25"/>
    </row>
  </sheetData>
  <mergeCells count="11">
    <mergeCell ref="A1:E1"/>
    <mergeCell ref="A2:E2"/>
    <mergeCell ref="A5:E5"/>
    <mergeCell ref="A6:E6"/>
    <mergeCell ref="A24:E24"/>
    <mergeCell ref="A33:E33"/>
    <mergeCell ref="A41:E41"/>
    <mergeCell ref="A50:E50"/>
    <mergeCell ref="A56:E56"/>
    <mergeCell ref="A57:E57"/>
    <mergeCell ref="A69:E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6DA4"/>
    <pageSetUpPr fitToPage="false"/>
  </sheetPr>
  <dimension ref="A1:E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26"/>
    <col collapsed="false" customWidth="true" hidden="false" outlineLevel="0" max="3" min="3" style="1" width="12"/>
    <col collapsed="false" customWidth="true" hidden="false" outlineLevel="0" max="4" min="4" style="1" width="22"/>
    <col collapsed="false" customWidth="true" hidden="false" outlineLevel="0" max="5" min="5" style="1" width="40"/>
  </cols>
  <sheetData>
    <row r="1" customFormat="false" ht="42" hidden="false" customHeight="true" outlineLevel="0" collapsed="false">
      <c r="A1" s="2" t="s">
        <v>166</v>
      </c>
      <c r="B1" s="2"/>
      <c r="C1" s="2"/>
      <c r="D1" s="2"/>
      <c r="E1" s="2"/>
    </row>
    <row r="2" customFormat="false" ht="15.75" hidden="false" customHeight="true" outlineLevel="0" collapsed="false">
      <c r="A2" s="3" t="s">
        <v>167</v>
      </c>
      <c r="B2" s="3"/>
      <c r="C2" s="3"/>
      <c r="D2" s="3"/>
      <c r="E2" s="3"/>
    </row>
    <row r="3" customFormat="false" ht="19.5" hidden="false" customHeight="true" outlineLevel="0" collapsed="false">
      <c r="A3" s="6" t="s">
        <v>168</v>
      </c>
      <c r="B3" s="6" t="s">
        <v>169</v>
      </c>
      <c r="C3" s="6" t="s">
        <v>8</v>
      </c>
      <c r="D3" s="6" t="s">
        <v>170</v>
      </c>
      <c r="E3" s="6" t="s">
        <v>171</v>
      </c>
    </row>
    <row r="4" customFormat="false" ht="21.75" hidden="false" customHeight="true" outlineLevel="0" collapsed="false">
      <c r="A4" s="7" t="s">
        <v>172</v>
      </c>
      <c r="B4" s="7"/>
      <c r="C4" s="7"/>
      <c r="D4" s="7"/>
      <c r="E4" s="7"/>
    </row>
    <row r="5" customFormat="false" ht="18" hidden="false" customHeight="true" outlineLevel="0" collapsed="false">
      <c r="A5" s="26" t="s">
        <v>12</v>
      </c>
    </row>
    <row r="6" customFormat="false" ht="15" hidden="false" customHeight="true" outlineLevel="0" collapsed="false">
      <c r="B6" s="26" t="s">
        <v>173</v>
      </c>
    </row>
    <row r="7" customFormat="false" ht="15" hidden="false" customHeight="true" outlineLevel="0" collapsed="false">
      <c r="C7" s="26" t="s">
        <v>15</v>
      </c>
    </row>
    <row r="8" customFormat="false" ht="15" hidden="false" customHeight="true" outlineLevel="0" collapsed="false">
      <c r="D8" s="26" t="s">
        <v>174</v>
      </c>
    </row>
    <row r="9" customFormat="false" ht="15" hidden="false" customHeight="true" outlineLevel="0" collapsed="false">
      <c r="E9" s="26" t="s">
        <v>175</v>
      </c>
    </row>
    <row r="10" customFormat="false" ht="21.75" hidden="false" customHeight="true" outlineLevel="0" collapsed="false">
      <c r="A10" s="27"/>
      <c r="B10" s="27"/>
      <c r="C10" s="27"/>
      <c r="D10" s="27"/>
      <c r="E10" s="27"/>
    </row>
    <row r="11" customFormat="false" ht="21.75" hidden="false" customHeight="true" outlineLevel="0" collapsed="false">
      <c r="A11" s="28"/>
      <c r="B11" s="28"/>
      <c r="C11" s="28"/>
      <c r="D11" s="28"/>
      <c r="E11" s="28"/>
    </row>
    <row r="12" customFormat="false" ht="21.75" hidden="false" customHeight="true" outlineLevel="0" collapsed="false">
      <c r="A12" s="27"/>
      <c r="B12" s="27"/>
      <c r="C12" s="27"/>
      <c r="D12" s="27"/>
      <c r="E12" s="27"/>
    </row>
    <row r="13" customFormat="false" ht="21.75" hidden="false" customHeight="true" outlineLevel="0" collapsed="false">
      <c r="A13" s="28"/>
      <c r="B13" s="28"/>
      <c r="C13" s="28"/>
      <c r="D13" s="28"/>
      <c r="E13" s="28"/>
    </row>
    <row r="14" customFormat="false" ht="21.75" hidden="false" customHeight="true" outlineLevel="0" collapsed="false">
      <c r="A14" s="27"/>
      <c r="B14" s="27"/>
      <c r="C14" s="27"/>
      <c r="D14" s="27"/>
      <c r="E14" s="27"/>
    </row>
    <row r="15" customFormat="false" ht="21.75" hidden="false" customHeight="true" outlineLevel="0" collapsed="false">
      <c r="A15" s="28"/>
      <c r="B15" s="28"/>
      <c r="C15" s="28"/>
      <c r="D15" s="28"/>
      <c r="E15" s="28"/>
    </row>
    <row r="16" customFormat="false" ht="21.75" hidden="false" customHeight="true" outlineLevel="0" collapsed="false">
      <c r="A16" s="29" t="s">
        <v>176</v>
      </c>
      <c r="B16" s="30" t="n">
        <f aca="false">SUM(B10:B15)</f>
        <v>0</v>
      </c>
      <c r="C16" s="30" t="str">
        <f aca="false">IFERROR(AVERAGEIF(C10:C15,"&gt;0"),"")</f>
        <v/>
      </c>
      <c r="D16" s="30" t="n">
        <f aca="false">SUM(D10:D15)</f>
        <v>0</v>
      </c>
      <c r="E16" s="30"/>
    </row>
    <row r="17" customFormat="false" ht="21.75" hidden="false" customHeight="true" outlineLevel="0" collapsed="false">
      <c r="A17" s="19" t="s">
        <v>177</v>
      </c>
      <c r="B17" s="19"/>
      <c r="C17" s="19"/>
      <c r="D17" s="19"/>
      <c r="E17" s="19"/>
    </row>
    <row r="18" customFormat="false" ht="27.75" hidden="false" customHeight="true" outlineLevel="0" collapsed="false">
      <c r="A18" s="14" t="s">
        <v>178</v>
      </c>
      <c r="B18" s="27"/>
      <c r="C18" s="15" t="s">
        <v>86</v>
      </c>
      <c r="D18" s="31" t="s">
        <v>179</v>
      </c>
      <c r="E18" s="16" t="s">
        <v>180</v>
      </c>
    </row>
    <row r="19" customFormat="false" ht="27.75" hidden="false" customHeight="true" outlineLevel="0" collapsed="false">
      <c r="A19" s="14" t="s">
        <v>181</v>
      </c>
      <c r="B19" s="27"/>
      <c r="C19" s="15" t="s">
        <v>90</v>
      </c>
      <c r="D19" s="31" t="s">
        <v>182</v>
      </c>
      <c r="E19" s="16" t="s">
        <v>183</v>
      </c>
    </row>
    <row r="20" customFormat="false" ht="27.75" hidden="false" customHeight="true" outlineLevel="0" collapsed="false">
      <c r="A20" s="14" t="s">
        <v>184</v>
      </c>
      <c r="B20" s="27"/>
      <c r="C20" s="15" t="s">
        <v>94</v>
      </c>
      <c r="D20" s="31" t="s">
        <v>185</v>
      </c>
      <c r="E20" s="16" t="s">
        <v>186</v>
      </c>
    </row>
    <row r="21" customFormat="false" ht="27.75" hidden="false" customHeight="true" outlineLevel="0" collapsed="false">
      <c r="A21" s="14" t="s">
        <v>187</v>
      </c>
      <c r="B21" s="27"/>
      <c r="C21" s="15" t="s">
        <v>188</v>
      </c>
      <c r="D21" s="31" t="s">
        <v>189</v>
      </c>
      <c r="E21" s="16" t="s">
        <v>190</v>
      </c>
    </row>
    <row r="22" customFormat="false" ht="27.75" hidden="false" customHeight="true" outlineLevel="0" collapsed="false">
      <c r="A22" s="14" t="s">
        <v>191</v>
      </c>
      <c r="B22" s="27"/>
      <c r="C22" s="15" t="s">
        <v>192</v>
      </c>
      <c r="D22" s="31" t="s">
        <v>193</v>
      </c>
      <c r="E22" s="16" t="s">
        <v>194</v>
      </c>
    </row>
    <row r="23" customFormat="false" ht="27.75" hidden="false" customHeight="true" outlineLevel="0" collapsed="false">
      <c r="A23" s="14" t="s">
        <v>195</v>
      </c>
      <c r="B23" s="27"/>
      <c r="C23" s="15" t="s">
        <v>196</v>
      </c>
      <c r="D23" s="31" t="s">
        <v>197</v>
      </c>
      <c r="E23" s="16" t="s">
        <v>198</v>
      </c>
    </row>
    <row r="24" customFormat="false" ht="27.75" hidden="false" customHeight="true" outlineLevel="0" collapsed="false">
      <c r="A24" s="14" t="s">
        <v>199</v>
      </c>
      <c r="B24" s="27"/>
      <c r="C24" s="15" t="s">
        <v>200</v>
      </c>
      <c r="D24" s="31" t="s">
        <v>197</v>
      </c>
      <c r="E24" s="16"/>
    </row>
    <row r="25" customFormat="false" ht="27.75" hidden="false" customHeight="true" outlineLevel="0" collapsed="false">
      <c r="A25" s="14" t="s">
        <v>201</v>
      </c>
      <c r="B25" s="27"/>
      <c r="C25" s="15" t="s">
        <v>202</v>
      </c>
      <c r="D25" s="31" t="s">
        <v>203</v>
      </c>
      <c r="E25" s="16"/>
    </row>
    <row r="26" customFormat="false" ht="27.75" hidden="false" customHeight="true" outlineLevel="0" collapsed="false">
      <c r="A26" s="14" t="s">
        <v>204</v>
      </c>
      <c r="B26" s="27"/>
      <c r="C26" s="15" t="s">
        <v>205</v>
      </c>
      <c r="D26" s="31" t="s">
        <v>206</v>
      </c>
      <c r="E26" s="16" t="s">
        <v>207</v>
      </c>
    </row>
    <row r="27" customFormat="false" ht="27.75" hidden="false" customHeight="true" outlineLevel="0" collapsed="false">
      <c r="A27" s="14" t="s">
        <v>208</v>
      </c>
      <c r="B27" s="27"/>
      <c r="C27" s="15" t="s">
        <v>209</v>
      </c>
      <c r="D27" s="31" t="s">
        <v>210</v>
      </c>
      <c r="E27" s="16" t="s">
        <v>211</v>
      </c>
    </row>
    <row r="28" customFormat="false" ht="21.75" hidden="false" customHeight="true" outlineLevel="0" collapsed="false">
      <c r="A28" s="18" t="s">
        <v>212</v>
      </c>
      <c r="B28" s="18"/>
      <c r="C28" s="18"/>
      <c r="D28" s="18"/>
      <c r="E28" s="18"/>
    </row>
    <row r="29" customFormat="false" ht="30" hidden="false" customHeight="true" outlineLevel="0" collapsed="false">
      <c r="A29" s="32" t="s">
        <v>213</v>
      </c>
      <c r="B29" s="32"/>
      <c r="C29" s="32"/>
      <c r="D29" s="32"/>
      <c r="E29" s="32"/>
    </row>
    <row r="30" customFormat="false" ht="27.75" hidden="false" customHeight="true" outlineLevel="0" collapsed="false">
      <c r="A30" s="14" t="s">
        <v>214</v>
      </c>
      <c r="B30" s="33" t="n">
        <f aca="false">IF(B18&lt;&gt;"",B18*9.97,0)</f>
        <v>0</v>
      </c>
      <c r="C30" s="15" t="s">
        <v>188</v>
      </c>
      <c r="D30" s="31" t="s">
        <v>215</v>
      </c>
      <c r="E30" s="16" t="s">
        <v>216</v>
      </c>
    </row>
    <row r="31" customFormat="false" ht="27.75" hidden="false" customHeight="true" outlineLevel="0" collapsed="false">
      <c r="A31" s="14" t="s">
        <v>217</v>
      </c>
      <c r="B31" s="33" t="n">
        <f aca="false">IF(B19&lt;&gt;"",B19*10,0)</f>
        <v>0</v>
      </c>
      <c r="C31" s="15" t="s">
        <v>188</v>
      </c>
      <c r="D31" s="31" t="s">
        <v>215</v>
      </c>
      <c r="E31" s="16" t="s">
        <v>218</v>
      </c>
    </row>
    <row r="32" customFormat="false" ht="27.75" hidden="false" customHeight="true" outlineLevel="0" collapsed="false">
      <c r="A32" s="14" t="s">
        <v>219</v>
      </c>
      <c r="B32" s="33" t="n">
        <f aca="false">IF(B20&lt;&gt;"",B20*4000,0)</f>
        <v>0</v>
      </c>
      <c r="C32" s="15" t="s">
        <v>188</v>
      </c>
      <c r="D32" s="31" t="s">
        <v>215</v>
      </c>
      <c r="E32" s="16" t="s">
        <v>220</v>
      </c>
    </row>
    <row r="33" customFormat="false" ht="27.75" hidden="false" customHeight="true" outlineLevel="0" collapsed="false">
      <c r="A33" s="14" t="s">
        <v>221</v>
      </c>
      <c r="B33" s="33" t="s">
        <v>222</v>
      </c>
      <c r="C33" s="15" t="s">
        <v>188</v>
      </c>
      <c r="D33" s="31" t="s">
        <v>215</v>
      </c>
      <c r="E33" s="16" t="s">
        <v>223</v>
      </c>
    </row>
    <row r="34" customFormat="false" ht="27.75" hidden="false" customHeight="true" outlineLevel="0" collapsed="false">
      <c r="A34" s="14" t="s">
        <v>224</v>
      </c>
      <c r="B34" s="33" t="str">
        <f aca="false">IF(B22&lt;&gt;"",B22*1000,"")</f>
        <v/>
      </c>
      <c r="C34" s="15" t="s">
        <v>188</v>
      </c>
      <c r="D34" s="31" t="s">
        <v>225</v>
      </c>
      <c r="E34" s="16" t="s">
        <v>226</v>
      </c>
    </row>
    <row r="35" customFormat="false" ht="27.75" hidden="false" customHeight="true" outlineLevel="0" collapsed="false">
      <c r="A35" s="14" t="s">
        <v>227</v>
      </c>
      <c r="B35" s="33" t="str">
        <f aca="false">IF(AND(B34&lt;&gt;"",B33&lt;&gt;"",B33&gt;0),B34/B33*100,"")</f>
        <v/>
      </c>
      <c r="C35" s="15" t="s">
        <v>106</v>
      </c>
      <c r="D35" s="31" t="s">
        <v>215</v>
      </c>
      <c r="E35" s="16" t="s">
        <v>228</v>
      </c>
    </row>
    <row r="36" customFormat="false" ht="27.75" hidden="false" customHeight="true" outlineLevel="0" collapsed="false">
      <c r="A36" s="14" t="s">
        <v>229</v>
      </c>
      <c r="B36" s="33" t="str">
        <f aca="false">IF(AND(B35&lt;&gt;"",B16&lt;&gt;""),AVERAGE(C10:C15)-B35,"")</f>
        <v/>
      </c>
      <c r="C36" s="15" t="s">
        <v>106</v>
      </c>
      <c r="D36" s="31" t="s">
        <v>215</v>
      </c>
      <c r="E36" s="16" t="s">
        <v>230</v>
      </c>
    </row>
    <row r="37" customFormat="false" ht="27.75" hidden="false" customHeight="true" outlineLevel="0" collapsed="false">
      <c r="A37" s="14" t="s">
        <v>231</v>
      </c>
      <c r="B37" s="33" t="str">
        <f aca="false">IF(AND(B33&lt;&gt;"",B27&lt;&gt;"",B27&gt;0),B33/B27,"")</f>
        <v/>
      </c>
      <c r="C37" s="15" t="s">
        <v>232</v>
      </c>
      <c r="D37" s="31" t="s">
        <v>215</v>
      </c>
      <c r="E37" s="16" t="s">
        <v>233</v>
      </c>
    </row>
    <row r="38" customFormat="false" ht="27.75" hidden="false" customHeight="true" outlineLevel="0" collapsed="false">
      <c r="A38" s="14" t="s">
        <v>234</v>
      </c>
      <c r="B38" s="33" t="str">
        <f aca="false">IF(AND(B34&lt;&gt;"",B17&lt;&gt;"",B17&gt;0),ABS((B34-B17*1000)/B34)*100,"")</f>
        <v/>
      </c>
      <c r="C38" s="15" t="s">
        <v>106</v>
      </c>
      <c r="D38" s="31" t="s">
        <v>235</v>
      </c>
      <c r="E38" s="16" t="s">
        <v>236</v>
      </c>
    </row>
    <row r="39" customFormat="false" ht="27.75" hidden="false" customHeight="true" outlineLevel="0" collapsed="false">
      <c r="A39" s="14" t="s">
        <v>237</v>
      </c>
      <c r="B39" s="33" t="str">
        <f aca="false">IF(B38="","Brak danych",IF(B38&lt;=5,"✅ ZATWIERDZONY",IF(B38&lt;=10,"⚠️ WARUNKOWO","❌ ODRZUCONY — sprawdź dane")))</f>
        <v>Brak danych</v>
      </c>
      <c r="C39" s="15"/>
      <c r="D39" s="31" t="s">
        <v>215</v>
      </c>
      <c r="E39" s="16"/>
    </row>
    <row r="40" customFormat="false" ht="27.75" hidden="false" customHeight="true" outlineLevel="0" collapsed="false">
      <c r="A40" s="14" t="s">
        <v>238</v>
      </c>
      <c r="B40" s="33" t="str">
        <f aca="false">IF(AND(B30&lt;&gt;"",B23&lt;&gt;""),B30*B23,"")</f>
        <v/>
      </c>
      <c r="C40" s="15" t="s">
        <v>102</v>
      </c>
      <c r="D40" s="31" t="s">
        <v>215</v>
      </c>
      <c r="E40" s="16"/>
    </row>
    <row r="41" customFormat="false" ht="27.75" hidden="false" customHeight="true" outlineLevel="0" collapsed="false">
      <c r="A41" s="14" t="s">
        <v>239</v>
      </c>
      <c r="B41" s="33" t="str">
        <f aca="false">IF(AND(B31&lt;&gt;"",B24&lt;&gt;""),B31*B24,"")</f>
        <v/>
      </c>
      <c r="C41" s="15" t="s">
        <v>102</v>
      </c>
      <c r="D41" s="31" t="s">
        <v>215</v>
      </c>
      <c r="E41" s="16"/>
    </row>
    <row r="42" customFormat="false" ht="27.75" hidden="false" customHeight="true" outlineLevel="0" collapsed="false">
      <c r="A42" s="14" t="s">
        <v>240</v>
      </c>
      <c r="B42" s="33" t="str">
        <f aca="false">IF(B40&lt;&gt;"",B40+IF(B41&lt;&gt;"",B41,0),"")</f>
        <v/>
      </c>
      <c r="C42" s="15" t="s">
        <v>102</v>
      </c>
      <c r="D42" s="31" t="s">
        <v>215</v>
      </c>
      <c r="E42" s="16"/>
    </row>
    <row r="43" customFormat="false" ht="27.75" hidden="false" customHeight="true" outlineLevel="0" collapsed="false">
      <c r="A43" s="14" t="s">
        <v>241</v>
      </c>
      <c r="B43" s="33" t="str">
        <f aca="false">IF(B29&lt;&gt;"",B29*0.12,"")</f>
        <v/>
      </c>
      <c r="C43" s="15" t="s">
        <v>188</v>
      </c>
      <c r="D43" s="31" t="s">
        <v>242</v>
      </c>
      <c r="E43" s="16" t="s">
        <v>243</v>
      </c>
    </row>
    <row r="44" customFormat="false" ht="21.75" hidden="false" customHeight="true" outlineLevel="0" collapsed="false">
      <c r="A44" s="21" t="s">
        <v>244</v>
      </c>
      <c r="B44" s="21"/>
      <c r="C44" s="21"/>
      <c r="D44" s="21"/>
      <c r="E44" s="21"/>
    </row>
    <row r="45" customFormat="false" ht="43.5" hidden="false" customHeight="true" outlineLevel="0" collapsed="false">
      <c r="A45" s="22" t="s">
        <v>245</v>
      </c>
      <c r="B45" s="22"/>
      <c r="C45" s="22"/>
      <c r="D45" s="22"/>
      <c r="E45" s="22"/>
    </row>
    <row r="46" customFormat="false" ht="27.75" hidden="false" customHeight="true" outlineLevel="0" collapsed="false">
      <c r="A46" s="22" t="s">
        <v>246</v>
      </c>
      <c r="B46" s="22"/>
      <c r="C46" s="22"/>
      <c r="D46" s="22"/>
      <c r="E46" s="22"/>
    </row>
    <row r="47" customFormat="false" ht="21.75" hidden="false" customHeight="true" outlineLevel="0" collapsed="false">
      <c r="A47" s="34" t="s">
        <v>12</v>
      </c>
    </row>
    <row r="48" customFormat="false" ht="15" hidden="false" customHeight="false" outlineLevel="0" collapsed="false">
      <c r="B48" s="34" t="s">
        <v>247</v>
      </c>
    </row>
    <row r="49" customFormat="false" ht="15" hidden="false" customHeight="false" outlineLevel="0" collapsed="false">
      <c r="C49" s="34" t="s">
        <v>248</v>
      </c>
    </row>
    <row r="50" customFormat="false" ht="15" hidden="false" customHeight="false" outlineLevel="0" collapsed="false">
      <c r="D50" s="34" t="s">
        <v>249</v>
      </c>
    </row>
    <row r="51" customFormat="false" ht="15" hidden="false" customHeight="false" outlineLevel="0" collapsed="false">
      <c r="E51" s="34" t="s">
        <v>250</v>
      </c>
    </row>
    <row r="52" customFormat="false" ht="21.75" hidden="false" customHeight="true" outlineLevel="0" collapsed="false">
      <c r="A52" s="27"/>
      <c r="B52" s="27"/>
      <c r="C52" s="27"/>
      <c r="D52" s="27"/>
      <c r="E52" s="35" t="str">
        <f aca="true">IF(B52="","❌ Brak kontroli",IF(C52="","❌ Brak nr rejestr.",IF(D52="","⚠️ Brak terminu",IF(D52&lt;TODAY(),"❌ TERMIN MINĄŁ","✅ OK"))))</f>
        <v>❌ Brak kontroli</v>
      </c>
    </row>
    <row r="53" customFormat="false" ht="21.75" hidden="false" customHeight="true" outlineLevel="0" collapsed="false">
      <c r="A53" s="28"/>
      <c r="B53" s="28"/>
      <c r="C53" s="28"/>
      <c r="D53" s="28"/>
      <c r="E53" s="35" t="str">
        <f aca="true">IF(B53="","❌ Brak kontroli",IF(C53="","❌ Brak nr rejestr.",IF(D53="","⚠️ Brak terminu",IF(D53&lt;TODAY(),"❌ TERMIN MINĄŁ","✅ OK"))))</f>
        <v>❌ Brak kontroli</v>
      </c>
    </row>
    <row r="54" customFormat="false" ht="21.75" hidden="false" customHeight="true" outlineLevel="0" collapsed="false">
      <c r="A54" s="27"/>
      <c r="B54" s="27"/>
      <c r="C54" s="27"/>
      <c r="D54" s="27"/>
      <c r="E54" s="35" t="str">
        <f aca="true">IF(B54="","❌ Brak kontroli",IF(C54="","❌ Brak nr rejestr.",IF(D54="","⚠️ Brak terminu",IF(D54&lt;TODAY(),"❌ TERMIN MINĄŁ","✅ OK"))))</f>
        <v>❌ Brak kontroli</v>
      </c>
    </row>
    <row r="55" customFormat="false" ht="21.75" hidden="false" customHeight="true" outlineLevel="0" collapsed="false">
      <c r="A55" s="28"/>
      <c r="B55" s="28"/>
      <c r="C55" s="28"/>
      <c r="D55" s="28"/>
      <c r="E55" s="35" t="str">
        <f aca="true">IF(B55="","❌ Brak kontroli",IF(C55="","❌ Brak nr rejestr.",IF(D55="","⚠️ Brak terminu",IF(D55&lt;TODAY(),"❌ TERMIN MINĄŁ","✅ OK"))))</f>
        <v>❌ Brak kontroli</v>
      </c>
    </row>
    <row r="56" customFormat="false" ht="21.75" hidden="false" customHeight="true" outlineLevel="0" collapsed="false">
      <c r="A56" s="27"/>
      <c r="B56" s="27"/>
      <c r="C56" s="27"/>
      <c r="D56" s="27"/>
      <c r="E56" s="35" t="str">
        <f aca="true">IF(B56="","❌ Brak kontroli",IF(C56="","❌ Brak nr rejestr.",IF(D56="","⚠️ Brak terminu",IF(D56&lt;TODAY(),"❌ TERMIN MINĄŁ","✅ OK"))))</f>
        <v>❌ Brak kontroli</v>
      </c>
    </row>
    <row r="57" customFormat="false" ht="21.75" hidden="false" customHeight="true" outlineLevel="0" collapsed="false">
      <c r="A57" s="28"/>
      <c r="B57" s="28"/>
      <c r="C57" s="28"/>
      <c r="D57" s="28"/>
      <c r="E57" s="35" t="str">
        <f aca="true">IF(B57="","❌ Brak kontroli",IF(C57="","❌ Brak nr rejestr.",IF(D57="","⚠️ Brak terminu",IF(D57&lt;TODAY(),"❌ TERMIN MINĄŁ","✅ OK"))))</f>
        <v>❌ Brak kontroli</v>
      </c>
    </row>
    <row r="58" customFormat="false" ht="21.75" hidden="false" customHeight="true" outlineLevel="0" collapsed="false">
      <c r="A58" s="36" t="s">
        <v>251</v>
      </c>
      <c r="B58" s="36"/>
      <c r="C58" s="36"/>
      <c r="D58" s="36"/>
      <c r="E58" s="36"/>
    </row>
    <row r="59" customFormat="false" ht="27.75" hidden="false" customHeight="true" outlineLevel="0" collapsed="false">
      <c r="A59" s="14" t="s">
        <v>252</v>
      </c>
      <c r="B59" s="27"/>
      <c r="C59" s="15" t="s">
        <v>253</v>
      </c>
      <c r="D59" s="37" t="s">
        <v>254</v>
      </c>
      <c r="E59" s="16" t="s">
        <v>255</v>
      </c>
    </row>
    <row r="60" customFormat="false" ht="27.75" hidden="false" customHeight="true" outlineLevel="0" collapsed="false">
      <c r="A60" s="14" t="s">
        <v>256</v>
      </c>
      <c r="B60" s="27"/>
      <c r="C60" s="15" t="s">
        <v>253</v>
      </c>
      <c r="D60" s="37" t="s">
        <v>257</v>
      </c>
      <c r="E60" s="16" t="s">
        <v>258</v>
      </c>
    </row>
    <row r="61" customFormat="false" ht="27.75" hidden="false" customHeight="true" outlineLevel="0" collapsed="false">
      <c r="A61" s="14" t="s">
        <v>259</v>
      </c>
      <c r="B61" s="27"/>
      <c r="C61" s="15" t="s">
        <v>253</v>
      </c>
      <c r="D61" s="37" t="s">
        <v>215</v>
      </c>
      <c r="E61" s="16" t="s">
        <v>260</v>
      </c>
    </row>
    <row r="62" customFormat="false" ht="27.75" hidden="false" customHeight="true" outlineLevel="0" collapsed="false">
      <c r="A62" s="14" t="s">
        <v>261</v>
      </c>
      <c r="B62" s="27"/>
      <c r="C62" s="15"/>
      <c r="D62" s="37" t="s">
        <v>262</v>
      </c>
      <c r="E62" s="16" t="s">
        <v>263</v>
      </c>
    </row>
    <row r="63" customFormat="false" ht="27.75" hidden="false" customHeight="true" outlineLevel="0" collapsed="false">
      <c r="A63" s="14" t="s">
        <v>264</v>
      </c>
      <c r="B63" s="27"/>
      <c r="C63" s="15"/>
      <c r="D63" s="37" t="s">
        <v>265</v>
      </c>
      <c r="E63" s="16" t="s">
        <v>266</v>
      </c>
    </row>
    <row r="64" customFormat="false" ht="27.75" hidden="false" customHeight="true" outlineLevel="0" collapsed="false">
      <c r="A64" s="14" t="s">
        <v>267</v>
      </c>
      <c r="B64" s="27"/>
      <c r="C64" s="15"/>
      <c r="D64" s="37" t="s">
        <v>268</v>
      </c>
      <c r="E64" s="16" t="s">
        <v>269</v>
      </c>
    </row>
    <row r="65" customFormat="false" ht="36" hidden="false" customHeight="true" outlineLevel="0" collapsed="false">
      <c r="A65" s="14" t="s">
        <v>270</v>
      </c>
      <c r="B65" s="33" t="str">
        <f aca="false">IF(B52="","⚠️ Brak danych — wypełnij tabelę urządzeń",IF(COUNTIF(E52:E57,"❌*")&gt;0,"❌ NIEZGODNOŚĆ PRAWNA — "
&amp;COUNTIF(E52:E57,"❌*")&amp;" urządzeń bez aktualnej kontroli lub wpisu e-CR",IF(COUNTIF(E52:E57,"⚠️*")&gt;0,"⚠️ WYMAGA UWAGI — sprawdź urządzenia oznaczone ⚠️","✅ ZGODNY — wszystkie urządzenia mają aktualną kontrolę i wpis w rejestrze e-CR")))</f>
        <v>⚠️ Brak danych — wypełnij tabelę urządzeń</v>
      </c>
      <c r="C65" s="15"/>
      <c r="D65" s="37" t="s">
        <v>271</v>
      </c>
      <c r="E65" s="16" t="s">
        <v>272</v>
      </c>
    </row>
    <row r="66" customFormat="false" ht="13.5" hidden="false" customHeight="true" outlineLevel="0" collapsed="false">
      <c r="A66" s="25" t="s">
        <v>273</v>
      </c>
      <c r="B66" s="25"/>
      <c r="C66" s="25"/>
      <c r="D66" s="25"/>
      <c r="E66" s="25"/>
    </row>
  </sheetData>
  <mergeCells count="11">
    <mergeCell ref="A1:E1"/>
    <mergeCell ref="A2:E2"/>
    <mergeCell ref="A4:E4"/>
    <mergeCell ref="A17:E17"/>
    <mergeCell ref="A28:E28"/>
    <mergeCell ref="A29:E29"/>
    <mergeCell ref="A44:E44"/>
    <mergeCell ref="A45:E45"/>
    <mergeCell ref="A46:E46"/>
    <mergeCell ref="A58:E58"/>
    <mergeCell ref="A66:E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A5C"/>
    <pageSetUpPr fitToPage="false"/>
  </sheetPr>
  <dimension ref="A1:E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26"/>
    <col collapsed="false" customWidth="true" hidden="false" outlineLevel="0" max="5" min="5" style="1" width="22"/>
  </cols>
  <sheetData>
    <row r="1" customFormat="false" ht="42" hidden="false" customHeight="true" outlineLevel="0" collapsed="false">
      <c r="A1" s="38" t="s">
        <v>274</v>
      </c>
      <c r="B1" s="38"/>
      <c r="C1" s="38"/>
      <c r="D1" s="38"/>
      <c r="E1" s="38"/>
    </row>
    <row r="2" customFormat="false" ht="15.75" hidden="false" customHeight="true" outlineLevel="0" collapsed="false">
      <c r="A2" s="39" t="s">
        <v>275</v>
      </c>
      <c r="B2" s="39"/>
      <c r="C2" s="39"/>
      <c r="D2" s="39"/>
      <c r="E2" s="39"/>
    </row>
    <row r="3" customFormat="false" ht="19.5" hidden="false" customHeight="true" outlineLevel="0" collapsed="false">
      <c r="A3" s="40" t="s">
        <v>276</v>
      </c>
      <c r="B3" s="5"/>
      <c r="C3" s="40" t="s">
        <v>3</v>
      </c>
      <c r="D3" s="5"/>
      <c r="E3" s="40" t="s">
        <v>277</v>
      </c>
    </row>
    <row r="4" customFormat="false" ht="21.75" hidden="false" customHeight="true" outlineLevel="0" collapsed="false">
      <c r="A4" s="19" t="s">
        <v>278</v>
      </c>
      <c r="B4" s="19"/>
      <c r="C4" s="19"/>
      <c r="D4" s="19"/>
      <c r="E4" s="19"/>
    </row>
    <row r="5" customFormat="false" ht="24" hidden="false" customHeight="true" outlineLevel="0" collapsed="false">
      <c r="A5" s="41" t="s">
        <v>279</v>
      </c>
      <c r="B5" s="42" t="s">
        <v>280</v>
      </c>
      <c r="C5" s="43"/>
      <c r="D5" s="44"/>
      <c r="E5" s="45"/>
    </row>
    <row r="6" customFormat="false" ht="24" hidden="false" customHeight="true" outlineLevel="0" collapsed="false">
      <c r="A6" s="41" t="s">
        <v>281</v>
      </c>
      <c r="B6" s="42" t="s">
        <v>282</v>
      </c>
      <c r="C6" s="43"/>
      <c r="D6" s="44"/>
      <c r="E6" s="45"/>
    </row>
    <row r="7" customFormat="false" ht="24" hidden="false" customHeight="true" outlineLevel="0" collapsed="false">
      <c r="A7" s="41" t="s">
        <v>283</v>
      </c>
      <c r="B7" s="42" t="s">
        <v>284</v>
      </c>
      <c r="C7" s="43"/>
      <c r="D7" s="44"/>
      <c r="E7" s="45"/>
    </row>
    <row r="8" customFormat="false" ht="24" hidden="false" customHeight="true" outlineLevel="0" collapsed="false">
      <c r="A8" s="41" t="s">
        <v>285</v>
      </c>
      <c r="B8" s="42" t="s">
        <v>286</v>
      </c>
      <c r="C8" s="43"/>
      <c r="D8" s="44"/>
      <c r="E8" s="45"/>
    </row>
    <row r="9" customFormat="false" ht="24" hidden="false" customHeight="true" outlineLevel="0" collapsed="false">
      <c r="A9" s="41" t="s">
        <v>287</v>
      </c>
      <c r="B9" s="42" t="s">
        <v>288</v>
      </c>
      <c r="C9" s="43"/>
      <c r="D9" s="44"/>
      <c r="E9" s="45"/>
    </row>
    <row r="10" customFormat="false" ht="24" hidden="false" customHeight="true" outlineLevel="0" collapsed="false">
      <c r="A10" s="41" t="s">
        <v>289</v>
      </c>
      <c r="B10" s="42" t="s">
        <v>290</v>
      </c>
      <c r="C10" s="43"/>
      <c r="D10" s="44"/>
      <c r="E10" s="45"/>
    </row>
    <row r="11" customFormat="false" ht="24" hidden="false" customHeight="true" outlineLevel="0" collapsed="false">
      <c r="A11" s="41" t="s">
        <v>291</v>
      </c>
      <c r="B11" s="42" t="s">
        <v>292</v>
      </c>
      <c r="C11" s="43"/>
      <c r="D11" s="44"/>
      <c r="E11" s="45"/>
    </row>
    <row r="12" customFormat="false" ht="24" hidden="false" customHeight="true" outlineLevel="0" collapsed="false">
      <c r="A12" s="41" t="s">
        <v>293</v>
      </c>
      <c r="B12" s="42" t="s">
        <v>294</v>
      </c>
      <c r="C12" s="43"/>
      <c r="D12" s="44"/>
      <c r="E12" s="45"/>
    </row>
    <row r="13" customFormat="false" ht="24" hidden="false" customHeight="true" outlineLevel="0" collapsed="false">
      <c r="A13" s="41" t="s">
        <v>295</v>
      </c>
      <c r="B13" s="42" t="s">
        <v>296</v>
      </c>
      <c r="C13" s="43"/>
      <c r="D13" s="44"/>
      <c r="E13" s="45"/>
    </row>
    <row r="14" customFormat="false" ht="24" hidden="false" customHeight="true" outlineLevel="0" collapsed="false">
      <c r="A14" s="41" t="s">
        <v>297</v>
      </c>
      <c r="B14" s="42" t="s">
        <v>298</v>
      </c>
      <c r="C14" s="43"/>
      <c r="D14" s="44"/>
      <c r="E14" s="45"/>
    </row>
    <row r="15" customFormat="false" ht="21.75" hidden="false" customHeight="true" outlineLevel="0" collapsed="false">
      <c r="A15" s="7" t="s">
        <v>299</v>
      </c>
      <c r="B15" s="7"/>
      <c r="C15" s="7"/>
      <c r="D15" s="7"/>
      <c r="E15" s="7"/>
    </row>
    <row r="16" customFormat="false" ht="18" hidden="false" customHeight="true" outlineLevel="0" collapsed="false">
      <c r="A16" s="46" t="s">
        <v>300</v>
      </c>
      <c r="B16" s="46" t="s">
        <v>169</v>
      </c>
      <c r="C16" s="46" t="s">
        <v>301</v>
      </c>
      <c r="D16" s="46" t="s">
        <v>302</v>
      </c>
      <c r="E16" s="46" t="s">
        <v>303</v>
      </c>
    </row>
    <row r="17" customFormat="false" ht="25.5" hidden="false" customHeight="true" outlineLevel="0" collapsed="false">
      <c r="A17" s="47" t="s">
        <v>304</v>
      </c>
      <c r="B17" s="44" t="s">
        <v>305</v>
      </c>
      <c r="C17" s="43" t="s">
        <v>106</v>
      </c>
      <c r="D17" s="45" t="s">
        <v>306</v>
      </c>
      <c r="E17" s="48" t="s">
        <v>307</v>
      </c>
    </row>
    <row r="18" customFormat="false" ht="25.5" hidden="false" customHeight="true" outlineLevel="0" collapsed="false">
      <c r="A18" s="47" t="s">
        <v>308</v>
      </c>
      <c r="B18" s="44" t="s">
        <v>305</v>
      </c>
      <c r="C18" s="43" t="s">
        <v>106</v>
      </c>
      <c r="D18" s="45" t="s">
        <v>309</v>
      </c>
      <c r="E18" s="48" t="s">
        <v>307</v>
      </c>
    </row>
    <row r="19" customFormat="false" ht="25.5" hidden="false" customHeight="true" outlineLevel="0" collapsed="false">
      <c r="A19" s="47" t="s">
        <v>310</v>
      </c>
      <c r="B19" s="44" t="s">
        <v>305</v>
      </c>
      <c r="C19" s="43" t="s">
        <v>232</v>
      </c>
      <c r="D19" s="45" t="s">
        <v>311</v>
      </c>
      <c r="E19" s="48" t="s">
        <v>307</v>
      </c>
    </row>
    <row r="20" customFormat="false" ht="25.5" hidden="false" customHeight="true" outlineLevel="0" collapsed="false">
      <c r="A20" s="47" t="s">
        <v>312</v>
      </c>
      <c r="B20" s="44" t="s">
        <v>305</v>
      </c>
      <c r="C20" s="43" t="s">
        <v>106</v>
      </c>
      <c r="D20" s="45" t="s">
        <v>313</v>
      </c>
      <c r="E20" s="48" t="s">
        <v>307</v>
      </c>
    </row>
    <row r="21" customFormat="false" ht="25.5" hidden="false" customHeight="true" outlineLevel="0" collapsed="false">
      <c r="A21" s="47" t="s">
        <v>314</v>
      </c>
      <c r="B21" s="44" t="s">
        <v>305</v>
      </c>
      <c r="C21" s="43" t="s">
        <v>102</v>
      </c>
      <c r="D21" s="45" t="s">
        <v>315</v>
      </c>
      <c r="E21" s="48" t="s">
        <v>307</v>
      </c>
    </row>
    <row r="22" customFormat="false" ht="25.5" hidden="false" customHeight="true" outlineLevel="0" collapsed="false">
      <c r="A22" s="47" t="s">
        <v>316</v>
      </c>
      <c r="B22" s="44" t="s">
        <v>305</v>
      </c>
      <c r="C22" s="43" t="s">
        <v>188</v>
      </c>
      <c r="D22" s="45" t="s">
        <v>317</v>
      </c>
      <c r="E22" s="48" t="s">
        <v>307</v>
      </c>
    </row>
    <row r="23" customFormat="false" ht="25.5" hidden="false" customHeight="true" outlineLevel="0" collapsed="false">
      <c r="A23" s="47" t="s">
        <v>318</v>
      </c>
      <c r="B23" s="44" t="s">
        <v>305</v>
      </c>
      <c r="C23" s="43" t="s">
        <v>188</v>
      </c>
      <c r="D23" s="45" t="s">
        <v>319</v>
      </c>
      <c r="E23" s="48" t="s">
        <v>307</v>
      </c>
    </row>
    <row r="24" customFormat="false" ht="21.75" hidden="false" customHeight="true" outlineLevel="0" collapsed="false">
      <c r="A24" s="19" t="s">
        <v>320</v>
      </c>
      <c r="B24" s="19"/>
      <c r="C24" s="19"/>
      <c r="D24" s="19"/>
      <c r="E24" s="19"/>
    </row>
    <row r="25" customFormat="false" ht="18" hidden="false" customHeight="true" outlineLevel="0" collapsed="false">
      <c r="A25" s="49" t="s">
        <v>321</v>
      </c>
    </row>
    <row r="26" customFormat="false" ht="15" hidden="false" customHeight="true" outlineLevel="0" collapsed="false">
      <c r="B26" s="49" t="s">
        <v>14</v>
      </c>
    </row>
    <row r="27" customFormat="false" ht="15" hidden="false" customHeight="true" outlineLevel="0" collapsed="false">
      <c r="C27" s="49" t="s">
        <v>15</v>
      </c>
    </row>
    <row r="28" customFormat="false" ht="21.75" hidden="false" customHeight="true" outlineLevel="0" collapsed="false">
      <c r="D28" s="49" t="s">
        <v>322</v>
      </c>
    </row>
    <row r="29" customFormat="false" ht="15" hidden="false" customHeight="true" outlineLevel="0" collapsed="false">
      <c r="E29" s="49" t="s">
        <v>303</v>
      </c>
    </row>
    <row r="30" customFormat="false" ht="21.75" hidden="false" customHeight="true" outlineLevel="0" collapsed="false">
      <c r="A30" s="28" t="s">
        <v>323</v>
      </c>
      <c r="B30" s="28"/>
      <c r="C30" s="28"/>
      <c r="D30" s="28"/>
      <c r="E30" s="28"/>
    </row>
    <row r="31" customFormat="false" ht="21.75" hidden="false" customHeight="true" outlineLevel="0" collapsed="false">
      <c r="A31" s="50" t="s">
        <v>324</v>
      </c>
      <c r="B31" s="50"/>
      <c r="C31" s="50"/>
      <c r="D31" s="50"/>
      <c r="E31" s="50"/>
    </row>
    <row r="32" customFormat="false" ht="21.75" hidden="false" customHeight="true" outlineLevel="0" collapsed="false">
      <c r="A32" s="28" t="s">
        <v>325</v>
      </c>
      <c r="B32" s="28"/>
      <c r="C32" s="28"/>
      <c r="D32" s="28"/>
      <c r="E32" s="28"/>
    </row>
    <row r="33" customFormat="false" ht="21.75" hidden="false" customHeight="true" outlineLevel="0" collapsed="false">
      <c r="A33" s="50" t="s">
        <v>326</v>
      </c>
      <c r="B33" s="50"/>
      <c r="C33" s="50"/>
      <c r="D33" s="50"/>
      <c r="E33" s="50"/>
    </row>
    <row r="34" customFormat="false" ht="21.75" hidden="false" customHeight="true" outlineLevel="0" collapsed="false">
      <c r="A34" s="28" t="s">
        <v>327</v>
      </c>
      <c r="B34" s="28"/>
      <c r="C34" s="28"/>
      <c r="D34" s="28"/>
      <c r="E34" s="28"/>
    </row>
    <row r="35" customFormat="false" ht="21.75" hidden="false" customHeight="true" outlineLevel="0" collapsed="false">
      <c r="A35" s="50" t="s">
        <v>328</v>
      </c>
      <c r="B35" s="50"/>
      <c r="C35" s="50"/>
      <c r="D35" s="50"/>
      <c r="E35" s="50"/>
    </row>
    <row r="36" customFormat="false" ht="21.75" hidden="false" customHeight="true" outlineLevel="0" collapsed="false">
      <c r="A36" s="20" t="s">
        <v>329</v>
      </c>
      <c r="B36" s="20"/>
      <c r="C36" s="20"/>
      <c r="D36" s="20"/>
      <c r="E36" s="20"/>
    </row>
    <row r="37" customFormat="false" ht="25.5" hidden="false" customHeight="true" outlineLevel="0" collapsed="false">
      <c r="A37" s="41" t="s">
        <v>330</v>
      </c>
      <c r="B37" s="51" t="s">
        <v>331</v>
      </c>
      <c r="C37" s="52"/>
      <c r="D37" s="45" t="s">
        <v>332</v>
      </c>
      <c r="E37" s="45"/>
    </row>
    <row r="38" customFormat="false" ht="25.5" hidden="false" customHeight="true" outlineLevel="0" collapsed="false">
      <c r="A38" s="41" t="s">
        <v>333</v>
      </c>
      <c r="B38" s="51" t="s">
        <v>334</v>
      </c>
      <c r="C38" s="52"/>
      <c r="D38" s="45" t="s">
        <v>335</v>
      </c>
      <c r="E38" s="45"/>
    </row>
    <row r="39" customFormat="false" ht="25.5" hidden="false" customHeight="true" outlineLevel="0" collapsed="false">
      <c r="A39" s="41" t="s">
        <v>336</v>
      </c>
      <c r="B39" s="51" t="s">
        <v>337</v>
      </c>
      <c r="C39" s="52"/>
      <c r="D39" s="45" t="s">
        <v>338</v>
      </c>
      <c r="E39" s="45"/>
    </row>
    <row r="40" customFormat="false" ht="25.5" hidden="false" customHeight="true" outlineLevel="0" collapsed="false">
      <c r="A40" s="41" t="s">
        <v>339</v>
      </c>
      <c r="B40" s="51" t="s">
        <v>340</v>
      </c>
      <c r="C40" s="52"/>
      <c r="D40" s="45" t="s">
        <v>341</v>
      </c>
      <c r="E40" s="45"/>
    </row>
    <row r="41" customFormat="false" ht="25.5" hidden="false" customHeight="true" outlineLevel="0" collapsed="false">
      <c r="A41" s="41" t="s">
        <v>342</v>
      </c>
      <c r="B41" s="51" t="s">
        <v>343</v>
      </c>
      <c r="C41" s="52"/>
      <c r="D41" s="45" t="s">
        <v>344</v>
      </c>
      <c r="E41" s="45"/>
    </row>
    <row r="42" customFormat="false" ht="25.5" hidden="false" customHeight="true" outlineLevel="0" collapsed="false">
      <c r="A42" s="41" t="s">
        <v>345</v>
      </c>
      <c r="B42" s="51" t="s">
        <v>346</v>
      </c>
      <c r="C42" s="52"/>
      <c r="D42" s="45" t="s">
        <v>347</v>
      </c>
      <c r="E42" s="45"/>
    </row>
    <row r="43" customFormat="false" ht="25.5" hidden="false" customHeight="true" outlineLevel="0" collapsed="false">
      <c r="A43" s="41" t="s">
        <v>348</v>
      </c>
      <c r="B43" s="51" t="s">
        <v>349</v>
      </c>
      <c r="C43" s="52"/>
      <c r="D43" s="45" t="s">
        <v>350</v>
      </c>
      <c r="E43" s="45"/>
    </row>
    <row r="44" customFormat="false" ht="21.75" hidden="false" customHeight="true" outlineLevel="0" collapsed="false">
      <c r="A44" s="7" t="s">
        <v>351</v>
      </c>
      <c r="B44" s="7"/>
      <c r="C44" s="7"/>
      <c r="D44" s="7"/>
      <c r="E44" s="7"/>
    </row>
    <row r="45" customFormat="false" ht="18" hidden="false" customHeight="true" outlineLevel="0" collapsed="false">
      <c r="A45" s="40" t="s">
        <v>352</v>
      </c>
      <c r="B45" s="53" t="s">
        <v>353</v>
      </c>
      <c r="C45" s="54" t="s">
        <v>354</v>
      </c>
      <c r="D45" s="53" t="s">
        <v>355</v>
      </c>
      <c r="E45" s="50"/>
    </row>
    <row r="46" customFormat="false" ht="21.75" hidden="false" customHeight="true" outlineLevel="0" collapsed="false">
      <c r="A46" s="21" t="s">
        <v>356</v>
      </c>
      <c r="B46" s="21"/>
      <c r="C46" s="21"/>
      <c r="D46" s="21"/>
      <c r="E46" s="21"/>
    </row>
    <row r="47" customFormat="false" ht="39.75" hidden="false" customHeight="true" outlineLevel="0" collapsed="false">
      <c r="A47" s="22" t="s">
        <v>357</v>
      </c>
      <c r="B47" s="22"/>
      <c r="C47" s="22"/>
      <c r="D47" s="22"/>
      <c r="E47" s="22"/>
    </row>
    <row r="48" customFormat="false" ht="27.75" hidden="false" customHeight="true" outlineLevel="0" collapsed="false">
      <c r="A48" s="55" t="s">
        <v>358</v>
      </c>
      <c r="B48" s="56" t="s">
        <v>359</v>
      </c>
      <c r="C48" s="57"/>
      <c r="D48" s="58" t="s">
        <v>360</v>
      </c>
      <c r="E48" s="57"/>
    </row>
    <row r="49" customFormat="false" ht="24" hidden="false" customHeight="true" outlineLevel="0" collapsed="false">
      <c r="A49" s="41" t="s">
        <v>361</v>
      </c>
      <c r="B49" s="42" t="s">
        <v>362</v>
      </c>
      <c r="C49" s="43" t="s">
        <v>253</v>
      </c>
      <c r="D49" s="45" t="s">
        <v>363</v>
      </c>
      <c r="E49" s="43"/>
    </row>
    <row r="50" customFormat="false" ht="24" hidden="false" customHeight="true" outlineLevel="0" collapsed="false">
      <c r="A50" s="41" t="s">
        <v>364</v>
      </c>
      <c r="B50" s="42" t="s">
        <v>365</v>
      </c>
      <c r="C50" s="43"/>
      <c r="D50" s="45" t="s">
        <v>366</v>
      </c>
      <c r="E50" s="43"/>
    </row>
    <row r="51" customFormat="false" ht="24" hidden="false" customHeight="true" outlineLevel="0" collapsed="false">
      <c r="A51" s="41" t="s">
        <v>367</v>
      </c>
      <c r="B51" s="42" t="s">
        <v>368</v>
      </c>
      <c r="C51" s="43"/>
      <c r="D51" s="45" t="s">
        <v>369</v>
      </c>
      <c r="E51" s="43"/>
    </row>
    <row r="52" customFormat="false" ht="24" hidden="false" customHeight="true" outlineLevel="0" collapsed="false">
      <c r="A52" s="41" t="s">
        <v>370</v>
      </c>
      <c r="B52" s="42" t="s">
        <v>371</v>
      </c>
      <c r="C52" s="43"/>
      <c r="D52" s="45" t="s">
        <v>372</v>
      </c>
      <c r="E52" s="43"/>
    </row>
    <row r="53" customFormat="false" ht="24" hidden="false" customHeight="true" outlineLevel="0" collapsed="false">
      <c r="A53" s="41" t="s">
        <v>373</v>
      </c>
      <c r="B53" s="42" t="s">
        <v>374</v>
      </c>
      <c r="C53" s="43"/>
      <c r="D53" s="45" t="s">
        <v>375</v>
      </c>
      <c r="E53" s="43"/>
    </row>
    <row r="54" customFormat="false" ht="24" hidden="false" customHeight="true" outlineLevel="0" collapsed="false">
      <c r="A54" s="41" t="s">
        <v>376</v>
      </c>
      <c r="B54" s="42" t="s">
        <v>377</v>
      </c>
      <c r="C54" s="43"/>
      <c r="D54" s="45" t="s">
        <v>378</v>
      </c>
      <c r="E54" s="43"/>
    </row>
    <row r="55" customFormat="false" ht="24" hidden="false" customHeight="true" outlineLevel="0" collapsed="false">
      <c r="A55" s="41" t="s">
        <v>379</v>
      </c>
      <c r="B55" s="42" t="s">
        <v>380</v>
      </c>
      <c r="C55" s="43"/>
      <c r="D55" s="45" t="s">
        <v>381</v>
      </c>
      <c r="E55" s="43"/>
    </row>
    <row r="56" customFormat="false" ht="13.5" hidden="false" customHeight="true" outlineLevel="0" collapsed="false">
      <c r="A56" s="25" t="s">
        <v>382</v>
      </c>
      <c r="B56" s="25"/>
      <c r="C56" s="25"/>
      <c r="D56" s="25"/>
      <c r="E56" s="25"/>
    </row>
  </sheetData>
  <mergeCells count="10">
    <mergeCell ref="A1:E1"/>
    <mergeCell ref="A2:E2"/>
    <mergeCell ref="A4:E4"/>
    <mergeCell ref="A15:E15"/>
    <mergeCell ref="A24:E24"/>
    <mergeCell ref="A36:E36"/>
    <mergeCell ref="A44:E44"/>
    <mergeCell ref="A46:E46"/>
    <mergeCell ref="A47:E47"/>
    <mergeCell ref="A56:E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7722"/>
    <pageSetUpPr fitToPage="false"/>
  </sheetPr>
  <dimension ref="A1:E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5"/>
  </cols>
  <sheetData>
    <row r="1" customFormat="false" ht="42" hidden="false" customHeight="true" outlineLevel="0" collapsed="false">
      <c r="A1" s="2" t="s">
        <v>383</v>
      </c>
      <c r="B1" s="2"/>
      <c r="C1" s="2"/>
      <c r="D1" s="2"/>
      <c r="E1" s="2"/>
    </row>
    <row r="2" customFormat="false" ht="15.75" hidden="false" customHeight="true" outlineLevel="0" collapsed="false">
      <c r="A2" s="3" t="s">
        <v>384</v>
      </c>
      <c r="B2" s="3"/>
      <c r="C2" s="3"/>
      <c r="D2" s="3"/>
      <c r="E2" s="3"/>
    </row>
    <row r="3" customFormat="false" ht="15" hidden="false" customHeight="true" outlineLevel="0" collapsed="false">
      <c r="A3" s="59" t="s">
        <v>385</v>
      </c>
    </row>
    <row r="4" customFormat="false" ht="15" hidden="false" customHeight="true" outlineLevel="0" collapsed="false">
      <c r="A4" s="60" t="s">
        <v>386</v>
      </c>
    </row>
    <row r="5" customFormat="false" ht="15" hidden="false" customHeight="true" outlineLevel="0" collapsed="false">
      <c r="A5" s="61" t="s">
        <v>387</v>
      </c>
    </row>
    <row r="6" customFormat="false" ht="15" hidden="false" customHeight="true" outlineLevel="0" collapsed="false">
      <c r="A6" s="61" t="s">
        <v>388</v>
      </c>
    </row>
    <row r="7" customFormat="false" ht="15" hidden="false" customHeight="true" outlineLevel="0" collapsed="false">
      <c r="A7" s="62"/>
    </row>
    <row r="8" customFormat="false" ht="15" hidden="false" customHeight="true" outlineLevel="0" collapsed="false">
      <c r="A8" s="63" t="s">
        <v>389</v>
      </c>
    </row>
    <row r="9" customFormat="false" ht="15" hidden="false" customHeight="true" outlineLevel="0" collapsed="false">
      <c r="A9" s="61" t="s">
        <v>390</v>
      </c>
    </row>
    <row r="10" customFormat="false" ht="15" hidden="false" customHeight="true" outlineLevel="0" collapsed="false">
      <c r="A10" s="61" t="s">
        <v>391</v>
      </c>
    </row>
    <row r="11" customFormat="false" ht="15" hidden="false" customHeight="true" outlineLevel="0" collapsed="false">
      <c r="A11" s="61" t="s">
        <v>392</v>
      </c>
    </row>
    <row r="12" customFormat="false" ht="15" hidden="false" customHeight="true" outlineLevel="0" collapsed="false">
      <c r="A12" s="62"/>
    </row>
    <row r="13" customFormat="false" ht="15" hidden="false" customHeight="true" outlineLevel="0" collapsed="false">
      <c r="A13" s="63" t="s">
        <v>393</v>
      </c>
    </row>
    <row r="14" customFormat="false" ht="15" hidden="false" customHeight="true" outlineLevel="0" collapsed="false">
      <c r="A14" s="62"/>
    </row>
    <row r="15" customFormat="false" ht="15" hidden="false" customHeight="true" outlineLevel="0" collapsed="false">
      <c r="A15" s="61" t="s">
        <v>394</v>
      </c>
    </row>
    <row r="16" customFormat="false" ht="15" hidden="false" customHeight="true" outlineLevel="0" collapsed="false">
      <c r="A16" s="61" t="s">
        <v>395</v>
      </c>
    </row>
    <row r="17" customFormat="false" ht="15" hidden="false" customHeight="true" outlineLevel="0" collapsed="false">
      <c r="A17" s="61" t="s">
        <v>396</v>
      </c>
    </row>
    <row r="18" customFormat="false" ht="15" hidden="false" customHeight="true" outlineLevel="0" collapsed="false">
      <c r="A18" s="62"/>
    </row>
    <row r="19" customFormat="false" ht="15" hidden="false" customHeight="true" outlineLevel="0" collapsed="false">
      <c r="A19" s="61" t="s">
        <v>397</v>
      </c>
    </row>
    <row r="20" customFormat="false" ht="15" hidden="false" customHeight="true" outlineLevel="0" collapsed="false">
      <c r="A20" s="61" t="s">
        <v>398</v>
      </c>
    </row>
    <row r="21" customFormat="false" ht="15" hidden="false" customHeight="true" outlineLevel="0" collapsed="false">
      <c r="A21" s="61" t="s">
        <v>399</v>
      </c>
    </row>
    <row r="22" customFormat="false" ht="15" hidden="false" customHeight="true" outlineLevel="0" collapsed="false">
      <c r="A22" s="61" t="s">
        <v>400</v>
      </c>
    </row>
    <row r="23" customFormat="false" ht="15" hidden="false" customHeight="true" outlineLevel="0" collapsed="false">
      <c r="A23" s="62"/>
    </row>
    <row r="24" customFormat="false" ht="15" hidden="false" customHeight="true" outlineLevel="0" collapsed="false">
      <c r="A24" s="61" t="s">
        <v>401</v>
      </c>
    </row>
    <row r="25" customFormat="false" ht="15" hidden="false" customHeight="true" outlineLevel="0" collapsed="false">
      <c r="A25" s="61" t="s">
        <v>402</v>
      </c>
    </row>
    <row r="26" customFormat="false" ht="15" hidden="false" customHeight="true" outlineLevel="0" collapsed="false">
      <c r="A26" s="61" t="s">
        <v>403</v>
      </c>
    </row>
    <row r="27" customFormat="false" ht="15" hidden="false" customHeight="true" outlineLevel="0" collapsed="false">
      <c r="A27" s="61" t="s">
        <v>404</v>
      </c>
    </row>
    <row r="28" customFormat="false" ht="15" hidden="false" customHeight="true" outlineLevel="0" collapsed="false">
      <c r="A28" s="62"/>
    </row>
    <row r="29" customFormat="false" ht="15" hidden="false" customHeight="true" outlineLevel="0" collapsed="false">
      <c r="A29" s="61" t="s">
        <v>405</v>
      </c>
    </row>
    <row r="30" customFormat="false" ht="15" hidden="false" customHeight="true" outlineLevel="0" collapsed="false">
      <c r="A30" s="61" t="s">
        <v>406</v>
      </c>
    </row>
    <row r="31" customFormat="false" ht="15" hidden="false" customHeight="true" outlineLevel="0" collapsed="false">
      <c r="A31" s="61" t="s">
        <v>407</v>
      </c>
    </row>
    <row r="32" customFormat="false" ht="15" hidden="false" customHeight="true" outlineLevel="0" collapsed="false">
      <c r="A32" s="62"/>
    </row>
    <row r="33" customFormat="false" ht="15" hidden="false" customHeight="true" outlineLevel="0" collapsed="false">
      <c r="A33" s="61" t="s">
        <v>408</v>
      </c>
    </row>
    <row r="34" customFormat="false" ht="15" hidden="false" customHeight="true" outlineLevel="0" collapsed="false">
      <c r="A34" s="61" t="s">
        <v>409</v>
      </c>
    </row>
    <row r="35" customFormat="false" ht="15" hidden="false" customHeight="true" outlineLevel="0" collapsed="false">
      <c r="A35" s="61" t="s">
        <v>410</v>
      </c>
    </row>
    <row r="36" customFormat="false" ht="15" hidden="false" customHeight="true" outlineLevel="0" collapsed="false">
      <c r="A36" s="62"/>
    </row>
    <row r="37" customFormat="false" ht="15" hidden="false" customHeight="true" outlineLevel="0" collapsed="false">
      <c r="A37" s="63" t="s">
        <v>411</v>
      </c>
    </row>
    <row r="38" customFormat="false" ht="15" hidden="false" customHeight="true" outlineLevel="0" collapsed="false">
      <c r="A38" s="64" t="s">
        <v>412</v>
      </c>
    </row>
    <row r="39" customFormat="false" ht="15" hidden="false" customHeight="true" outlineLevel="0" collapsed="false">
      <c r="A39" s="62"/>
    </row>
    <row r="40" customFormat="false" ht="15" hidden="false" customHeight="true" outlineLevel="0" collapsed="false">
      <c r="A40" s="63" t="s">
        <v>413</v>
      </c>
    </row>
    <row r="41" customFormat="false" ht="15" hidden="false" customHeight="true" outlineLevel="0" collapsed="false">
      <c r="A41" s="61" t="s">
        <v>414</v>
      </c>
    </row>
    <row r="42" customFormat="false" ht="15" hidden="false" customHeight="true" outlineLevel="0" collapsed="false">
      <c r="A42" s="61" t="s">
        <v>415</v>
      </c>
    </row>
    <row r="43" customFormat="false" ht="15" hidden="false" customHeight="true" outlineLevel="0" collapsed="false">
      <c r="A43" s="61" t="s">
        <v>416</v>
      </c>
    </row>
    <row r="44" customFormat="false" ht="15" hidden="false" customHeight="true" outlineLevel="0" collapsed="false">
      <c r="A44" s="61" t="s">
        <v>417</v>
      </c>
    </row>
    <row r="45" customFormat="false" ht="15" hidden="false" customHeight="true" outlineLevel="0" collapsed="false">
      <c r="A45" s="61" t="s">
        <v>418</v>
      </c>
    </row>
    <row r="46" customFormat="false" ht="15" hidden="false" customHeight="true" outlineLevel="0" collapsed="false">
      <c r="A46" s="61" t="s">
        <v>419</v>
      </c>
    </row>
    <row r="47" customFormat="false" ht="15" hidden="false" customHeight="true" outlineLevel="0" collapsed="false">
      <c r="A47" s="61" t="s">
        <v>420</v>
      </c>
    </row>
    <row r="48" customFormat="false" ht="15" hidden="false" customHeight="true" outlineLevel="0" collapsed="false">
      <c r="A48" s="61" t="s">
        <v>421</v>
      </c>
    </row>
    <row r="49" customFormat="false" ht="15" hidden="false" customHeight="true" outlineLevel="0" collapsed="false">
      <c r="A49" s="61" t="s">
        <v>422</v>
      </c>
    </row>
    <row r="50" customFormat="false" ht="15" hidden="false" customHeight="true" outlineLevel="0" collapsed="false">
      <c r="A50" s="61" t="s">
        <v>423</v>
      </c>
    </row>
    <row r="51" customFormat="false" ht="15" hidden="false" customHeight="true" outlineLevel="0" collapsed="false">
      <c r="A51" s="61" t="s">
        <v>424</v>
      </c>
    </row>
    <row r="52" customFormat="false" ht="15" hidden="false" customHeight="true" outlineLevel="0" collapsed="false">
      <c r="A52" s="61" t="s">
        <v>425</v>
      </c>
    </row>
    <row r="53" customFormat="false" ht="15" hidden="false" customHeight="true" outlineLevel="0" collapsed="false">
      <c r="A53" s="61" t="s">
        <v>426</v>
      </c>
    </row>
    <row r="54" customFormat="false" ht="15" hidden="false" customHeight="true" outlineLevel="0" collapsed="false">
      <c r="A54" s="61" t="s">
        <v>427</v>
      </c>
    </row>
    <row r="55" customFormat="false" ht="15" hidden="false" customHeight="true" outlineLevel="0" collapsed="false">
      <c r="A55" s="61" t="s">
        <v>428</v>
      </c>
    </row>
    <row r="56" customFormat="false" ht="15" hidden="false" customHeight="true" outlineLevel="0" collapsed="false">
      <c r="A56" s="61" t="s">
        <v>429</v>
      </c>
    </row>
    <row r="57" customFormat="false" ht="15" hidden="false" customHeight="true" outlineLevel="0" collapsed="false">
      <c r="A57" s="61" t="s">
        <v>430</v>
      </c>
    </row>
    <row r="58" customFormat="false" ht="15" hidden="false" customHeight="true" outlineLevel="0" collapsed="false">
      <c r="A58" s="61" t="s">
        <v>431</v>
      </c>
    </row>
    <row r="59" customFormat="false" ht="15" hidden="false" customHeight="true" outlineLevel="0" collapsed="false">
      <c r="A59" s="61" t="s">
        <v>432</v>
      </c>
    </row>
    <row r="60" customFormat="false" ht="15" hidden="false" customHeight="true" outlineLevel="0" collapsed="false">
      <c r="A60" s="61" t="s">
        <v>433</v>
      </c>
    </row>
    <row r="61" customFormat="false" ht="15" hidden="false" customHeight="true" outlineLevel="0" collapsed="false">
      <c r="A61" s="61" t="s">
        <v>434</v>
      </c>
    </row>
    <row r="62" customFormat="false" ht="15" hidden="false" customHeight="true" outlineLevel="0" collapsed="false">
      <c r="A62" s="61" t="s">
        <v>435</v>
      </c>
    </row>
    <row r="63" customFormat="false" ht="15" hidden="false" customHeight="true" outlineLevel="0" collapsed="false">
      <c r="A63" s="61" t="s">
        <v>436</v>
      </c>
    </row>
    <row r="64" customFormat="false" ht="15" hidden="false" customHeight="true" outlineLevel="0" collapsed="false">
      <c r="A64" s="61" t="s">
        <v>437</v>
      </c>
    </row>
    <row r="65" customFormat="false" ht="15" hidden="false" customHeight="true" outlineLevel="0" collapsed="false">
      <c r="A65" s="61" t="s">
        <v>438</v>
      </c>
    </row>
    <row r="66" customFormat="false" ht="15" hidden="false" customHeight="true" outlineLevel="0" collapsed="false">
      <c r="A66" s="61" t="s">
        <v>439</v>
      </c>
    </row>
    <row r="67" customFormat="false" ht="15" hidden="false" customHeight="true" outlineLevel="0" collapsed="false">
      <c r="A67" s="61" t="s">
        <v>440</v>
      </c>
    </row>
    <row r="68" customFormat="false" ht="15" hidden="false" customHeight="true" outlineLevel="0" collapsed="false">
      <c r="A68" s="61" t="s">
        <v>441</v>
      </c>
    </row>
    <row r="69" customFormat="false" ht="15" hidden="false" customHeight="true" outlineLevel="0" collapsed="false">
      <c r="A69" s="61" t="s">
        <v>442</v>
      </c>
    </row>
    <row r="70" customFormat="false" ht="15" hidden="false" customHeight="true" outlineLevel="0" collapsed="false">
      <c r="A70" s="61" t="s">
        <v>443</v>
      </c>
    </row>
    <row r="71" customFormat="false" ht="15" hidden="false" customHeight="true" outlineLevel="0" collapsed="false">
      <c r="A71" s="61" t="s">
        <v>444</v>
      </c>
    </row>
    <row r="72" customFormat="false" ht="15" hidden="false" customHeight="true" outlineLevel="0" collapsed="false">
      <c r="A72" s="61" t="s">
        <v>445</v>
      </c>
    </row>
    <row r="73" customFormat="false" ht="15" hidden="false" customHeight="true" outlineLevel="0" collapsed="false">
      <c r="A73" s="65" t="s">
        <v>446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2026-04-15T11:06:41Z</dcterms:created>
  <dc:creator>openpyxl</dc:creator>
  <dc:description/>
  <dc:language>en-US</dc:language>
  <cp:lastModifiedBy/>
  <dcterms:modified xsi:type="dcterms:W3CDTF">2026-04-15T12:31:31Z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