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KIETA_ETAP1" sheetId="1" state="visible" r:id="rId3"/>
    <sheet name="DANE_DTR_ETAP2" sheetId="2" state="visible" r:id="rId4"/>
    <sheet name="PASZPORT" sheetId="3" state="visible" r:id="rId5"/>
    <sheet name="SYSTEM_PROMP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<sst xmlns="http://schemas.openxmlformats.org/spreadsheetml/2006/main" count="410" uniqueCount="354">
  <si>
    <t xml:space="preserve">ENESA  ·  PASZPORT OŚWIETLENIA — STREFA / OBWÓD  ·  A-EnMS-LGT-01  ·  ANKIETA ETAP 1</t>
  </si>
  <si>
    <t xml:space="preserve">LGT = Lighting  ·  Wypełnia: Pracownik UR lub EM  ·  Pola ŻÓŁTE = wpisz  ·  Jedna strefa oświetleniowa (hala / biuro / magazyn / zewnętrzne / awaryjne)</t>
  </si>
  <si>
    <t xml:space="preserve">KOD STREFY / ID:</t>
  </si>
  <si>
    <t xml:space="preserve">Data Etap 1:</t>
  </si>
  <si>
    <t xml:space="preserve">Pracownik / EM:</t>
  </si>
  <si>
    <t xml:space="preserve">Nr</t>
  </si>
  <si>
    <t xml:space="preserve">Pytanie / Obserwacja</t>
  </si>
  <si>
    <t xml:space="preserve">Odpowiedź (wpisz)</t>
  </si>
  <si>
    <t xml:space="preserve">Jedn.</t>
  </si>
  <si>
    <t xml:space="preserve">Wskazówka</t>
  </si>
  <si>
    <t xml:space="preserve">  BLOK A — IDENTYFIKACJA STREFY OŚWIETLENIOWEJ</t>
  </si>
  <si>
    <t xml:space="preserve">A-01</t>
  </si>
  <si>
    <t xml:space="preserve">Nazwa i lokalizacja strefy oświetleniowej</t>
  </si>
  <si>
    <t xml:space="preserve">np. Hala produkcyjna A / Biura piętro 1 / Magazyn B / Parking zewnętrzny / Trasy komunikacyjne / Oświetlenie awaryjne (każda strefa = osobny paszport)</t>
  </si>
  <si>
    <t xml:space="preserve">A-02</t>
  </si>
  <si>
    <t xml:space="preserve">Powierzchnia oświetlanej strefy [m²]</t>
  </si>
  <si>
    <t xml:space="preserve">m²</t>
  </si>
  <si>
    <t xml:space="preserve">Zmierz lub odczytaj z projektu. Dla zewnętrznego: powierzchnia parkingu / drogi</t>
  </si>
  <si>
    <t xml:space="preserve">A-03</t>
  </si>
  <si>
    <t xml:space="preserve">Wysokość pomieszczenia / montażu opraw [m]</t>
  </si>
  <si>
    <t xml:space="preserve">m</t>
  </si>
  <si>
    <t xml:space="preserve">Ważne dla doboru mocy i oceny natężenia oświetlenia. Hale: 5-15 m / biura: 2.7-4 m</t>
  </si>
  <si>
    <t xml:space="preserve">A-04</t>
  </si>
  <si>
    <t xml:space="preserve">Typ strefy (rodzaj aktywności)</t>
  </si>
  <si>
    <t xml:space="preserve">Produkcja (praca precyzyjna) / Produkcja (ogólna) / Biuro / Magazyn (wysokiego składowania) / Komunikacja (korytarze, klatki) / Zewnętrzne (parking, drogi) / Awaryjne (ewakuacyjne)</t>
  </si>
  <si>
    <t xml:space="preserve">A-05</t>
  </si>
  <si>
    <t xml:space="preserve">Wymagane natężenie oświetlenia wg normy [lux]</t>
  </si>
  <si>
    <t xml:space="preserve">lux</t>
  </si>
  <si>
    <t xml:space="preserve">Podaj wymagane lub zmierzone. Norma PN-EN 12464-1:
Produkcja precyzyjna: 500-1000 lux / Produkcja ogólna: 300-500 lux / Biuro: 500 lux / Magazyn: 200-300 lux / Komunikacja: 100 lux / Zewnętrzne: 20-50 lux</t>
  </si>
  <si>
    <t xml:space="preserve">A-06</t>
  </si>
  <si>
    <t xml:space="preserve">Czy jest aktualne pomiary natężenia oświetlenia (luxmeter)?</t>
  </si>
  <si>
    <t xml:space="preserve">TAK — kiedy ostatnio i jakie wartości zmierzono / NIE — brak pomiarów
ISO 50001: pomiary wymagane dla SEU. PN-EN 12464-1 określa wymagane wartości</t>
  </si>
  <si>
    <t xml:space="preserve">  BLOK B — INWENTARYZACJA OPRAW OŚWIETLENIOWYCH  ★ KLUCZOWE</t>
  </si>
  <si>
    <t xml:space="preserve">  Wypełnij tabelę poniżej dla każdego TYPU oprawy w strefie. Jeden wiersz = jeden typ oprawy (np. 'oprawa przemysłowa LED 150W — 24 szt.').
  Dane potrzebne: typ technologii, moc jednostkowa [W], liczba opraw [szt.], strumień świetlny [lm] jeśli znany.</t>
  </si>
  <si>
    <t xml:space="preserve">Typ oprawy / opis</t>
  </si>
  <si>
    <t xml:space="preserve">Technologia</t>
  </si>
  <si>
    <t xml:space="preserve">Moc [W/szt.]</t>
  </si>
  <si>
    <t xml:space="preserve">Liczba [szt.]</t>
  </si>
  <si>
    <t xml:space="preserve">Łączna moc [W]</t>
  </si>
  <si>
    <t xml:space="preserve">[C19×D19]</t>
  </si>
  <si>
    <t xml:space="preserve">[C20×D20]</t>
  </si>
  <si>
    <t xml:space="preserve">[C21×D21]</t>
  </si>
  <si>
    <t xml:space="preserve">[C22×D22]</t>
  </si>
  <si>
    <t xml:space="preserve">[C23×D23]</t>
  </si>
  <si>
    <t xml:space="preserve">[C24×D24]</t>
  </si>
  <si>
    <t xml:space="preserve">SUMA STREFY</t>
  </si>
  <si>
    <t xml:space="preserve">[Σ E19:E24]</t>
  </si>
  <si>
    <t xml:space="preserve">B-01</t>
  </si>
  <si>
    <t xml:space="preserve">Dominująca technologia w tej strefie</t>
  </si>
  <si>
    <t xml:space="preserve">LED / Świetlówka T8 (fluorescencyjna) / Świetlówka T5 / Kompaktowa CFL / Metal-halide (MH) / Sodowa wysokoprężna (HPS) / Halogenowa / Mieszana</t>
  </si>
  <si>
    <t xml:space="preserve">B-02</t>
  </si>
  <si>
    <t xml:space="preserve">Czy oprawy mają stateczniki elektroniczne czy elektromagnetyczne (dla świetlówek)?</t>
  </si>
  <si>
    <t xml:space="preserve">Elektroniczne (ciche, efektywne, kompatybilne z ściemniaczami) / Elektromagnetyczne (brzęczą, mniej efektywne, starsze) / LED — nie dotyczy</t>
  </si>
  <si>
    <t xml:space="preserve">B-03</t>
  </si>
  <si>
    <t xml:space="preserve">Rok instalacji obecnego oświetlenia (szacunek)</t>
  </si>
  <si>
    <t xml:space="preserve">rok</t>
  </si>
  <si>
    <t xml:space="preserve">Przybliżony rok wymiany lub instalacji obecnych opraw. Oświetlenie &gt;10 lat = prawdopodobnie nieefektywne</t>
  </si>
  <si>
    <t xml:space="preserve">B-04</t>
  </si>
  <si>
    <t xml:space="preserve">Czy oprawy mają odbłyśniki / soczewki optyczne w dobrym stanie?</t>
  </si>
  <si>
    <t xml:space="preserve">TAK — czyste i nieuszkodzone / Brudne (zmniejszają skuteczność o 20-40%) / Uszkodzone / Brak (oprawy bez optyki)</t>
  </si>
  <si>
    <t xml:space="preserve">B-05</t>
  </si>
  <si>
    <t xml:space="preserve">Stan techniczny opraw — ocena wzrokowa (1-5)</t>
  </si>
  <si>
    <t xml:space="preserve">1=bardzo złe (zardzewiałe, uszkodzone, wiele niedziałających) / 3=średni / 5=jak nowe</t>
  </si>
  <si>
    <t xml:space="preserve">B-06</t>
  </si>
  <si>
    <t xml:space="preserve">Ile procent opraw nie działa (przepalone / uszkodzone)?</t>
  </si>
  <si>
    <t xml:space="preserve">%</t>
  </si>
  <si>
    <t xml:space="preserve">Szacunek: 0% = wszystkie działają / 5-10% = normalnie / &gt;15% = wymaga uwagi</t>
  </si>
  <si>
    <t xml:space="preserve">  BLOK C — STEROWANIE I AUTOMATYKA OŚWIETLENIA  ★ KLUCZOWE DLA OSZCZĘDNOŚCI</t>
  </si>
  <si>
    <t xml:space="preserve">  ★ Brak automatyki = oświetlenie pali się 24/7 niezależnie od obecności ludzi i nasłonecznienia.
  Potencjał oszczędności: czujniki obecności 20-40% / sterowanie wg światła dziennego 20-30% / harmonogram czasowy 15-30% / ściemnianie 10-20%. Można łączyć efekty.</t>
  </si>
  <si>
    <t xml:space="preserve">C-01</t>
  </si>
  <si>
    <t xml:space="preserve">Jak sterowane jest oświetlenie w tej strefie?</t>
  </si>
  <si>
    <t xml:space="preserve">Ręcznie wyłącznikiem / Czasowo (zegar) / Czujniki obecności / Czujniki światła dziennego (fotokomórka) / DALI (cyfrowy bus sterowania) / System BMS / Kombinacja kilku systemów</t>
  </si>
  <si>
    <t xml:space="preserve">C-02</t>
  </si>
  <si>
    <t xml:space="preserve">Czy są czujniki obecności (PIR lub mikrofalowe)?</t>
  </si>
  <si>
    <t xml:space="preserve">TAK — gdzie zainstalowane i jaki typ / NIE. Czujniki obecności = oświetlenie wyłącza się gdy brak ruchu przez X minut</t>
  </si>
  <si>
    <t xml:space="preserve">C-03</t>
  </si>
  <si>
    <t xml:space="preserve">Czy są czujniki natężenia światła dziennego (daylight sensors)?</t>
  </si>
  <si>
    <t xml:space="preserve">TAK — gdzie / NIE. Czujniki przyciemniają/wyłączają oświetlenie gdy jest wystarczające światło naturalne</t>
  </si>
  <si>
    <t xml:space="preserve">C-04</t>
  </si>
  <si>
    <t xml:space="preserve">Czy oświetlenie jest ściemniane (dimming)?</t>
  </si>
  <si>
    <t xml:space="preserve">TAK — jaki zakres (np. 20-100%) i czy DALI / NIE — tylko pełna moc lub wyłączone</t>
  </si>
  <si>
    <t xml:space="preserve">C-05</t>
  </si>
  <si>
    <t xml:space="preserve">Jaki jest harmonogram pracy oświetlenia?</t>
  </si>
  <si>
    <t xml:space="preserve">24/7 bez wyłączania / Wg zmian (1 zmiana: 6-14 / 2 zmiany: 6-22 / 3 zmiany: 0-24) / Wg harmonogramu BMS / Ręczne wyłączanie</t>
  </si>
  <si>
    <t xml:space="preserve">C-06</t>
  </si>
  <si>
    <t xml:space="preserve">Szacowany roczny czas świecenia oświetlenia w tej strefie [h/rok]</t>
  </si>
  <si>
    <t xml:space="preserve">h/rok</t>
  </si>
  <si>
    <t xml:space="preserve">Oblicz: liczba zmian × h/zmianę × dni_pracy
np. 1 zmiana × 8h × 250 dni = 2000 h/rok · 2 zmiany = 4000 h · 3 zmiany = 6000 h
Jeśli 24/7 przez cały rok = 8760 h/rok</t>
  </si>
  <si>
    <t xml:space="preserve">C-07</t>
  </si>
  <si>
    <t xml:space="preserve">Czy jest oddzielny licznik energii elektrycznej dla oświetlenia?</t>
  </si>
  <si>
    <t xml:space="preserve">TAK — podaj zużycie za 12 mies. [kWh/rok] / NIE — oświetlenie w ogólnym liczniku</t>
  </si>
  <si>
    <t xml:space="preserve">  BLOK D — OŚWIETLENIE AWARYJNE I EWAKUACYJNE  (wymagania BHP i p.poż.)</t>
  </si>
  <si>
    <t xml:space="preserve">  ! Oświetlenie awaryjne podlega osobnym wymaganiom (PN-EN 1838, Rozp. MSWiA ws. ochrony p.poż.).
  Wymagane testy: co miesiąc (1h) i co rok (3h). Brak testów = niezgodność BHP.</t>
  </si>
  <si>
    <t xml:space="preserve">D-01</t>
  </si>
  <si>
    <t xml:space="preserve">Czy w tej strefie jest oświetlenie awaryjne / ewakuacyjne?</t>
  </si>
  <si>
    <t xml:space="preserve">TAK / NIE / Nie dotyczy (pomieszczenie bez wymogu)</t>
  </si>
  <si>
    <t xml:space="preserve">D-02</t>
  </si>
  <si>
    <t xml:space="preserve">Typ oświetlenia awaryjnego</t>
  </si>
  <si>
    <t xml:space="preserve">LED (nowoczesne, długa żywotność akumulatora) / Fluorescencyjne (starsze) / Centralny system zasilania awaryjnego / Moduły autonomiczne przy każdej oprawie</t>
  </si>
  <si>
    <t xml:space="preserve">D-03</t>
  </si>
  <si>
    <t xml:space="preserve">Czy przeprowadzane są testy miesięczne i roczne oświetlenia awaryjnego?</t>
  </si>
  <si>
    <t xml:space="preserve">TAK — dokumentacja testów prowadzona / NIE — NIEZGODNOŚĆ BHP
PN-EN 50172 i Rozp. MSWiA: test funkcjonalny co miesiąc (1h), test pojemnościowy co rok (3h)</t>
  </si>
  <si>
    <t xml:space="preserve">D-04</t>
  </si>
  <si>
    <t xml:space="preserve">Data ostatniego testu rocznego (3h) oświetlenia awaryjnego</t>
  </si>
  <si>
    <t xml:space="preserve">DD.MM.RRRR — z dziennika testów. Brak = niezgodność</t>
  </si>
  <si>
    <t xml:space="preserve">  BLOK Z — COMPLIANCE: ROZPORZĄDZENIE UE 2019/2020 (ECODESIGN) + ISO 50001</t>
  </si>
  <si>
    <t xml:space="preserve">COMPLIANCE LGT — ROZPORZĄDZENIE UE 2019/2020 (ECODESIGN):
• Od 01.09.2023: ZAKAZ SPRZEDAŻY świetlówek T8, T5, kompaktowych świetlówek CFL — istniejące mogą działać do wyeksploatowania, ALE: zakup zapasowych jest nielegalny
• Halogeny: wycofane od 2018 r. (z wyjątkiem specjalnych zastosowań)
• Minimum efektywności LED (Rozp. EU 2021/2015): klasa E lub wyższa (F/G zakazane od 2021)
• Brak obowiązku kontroli jak HTG/COOL, ale ISO 50001 wymaga monitorowania SEU</t>
  </si>
  <si>
    <t xml:space="preserve">Z-01</t>
  </si>
  <si>
    <t xml:space="preserve">Czy w tej strefie są świetlówki T8 lub T5 (fluorescencyjne liniowe)?</t>
  </si>
  <si>
    <t xml:space="preserve">TAK (ile szt.) → NIEZGODNOŚĆ Rozp. UE 2019/2020 — od IX.2023 zakaz zakupu!
Istniejące mogą działać ale NOWYCH nie można kupować — plan wymiany na LED wymagany
NIE — brak problemu compliance</t>
  </si>
  <si>
    <t xml:space="preserve">Z-02</t>
  </si>
  <si>
    <t xml:space="preserve">Czy są halogeny lub żarówki incandescencyjne?</t>
  </si>
  <si>
    <t xml:space="preserve">TAK (ile szt.) → NIEZGODNOŚĆ — halogeny wycofane od 2018 (z wyjątkami specjalnymi)
NIE — OK</t>
  </si>
  <si>
    <t xml:space="preserve">Z-03</t>
  </si>
  <si>
    <t xml:space="preserve">Jakie technologie wymagają wymiany (wskaż technologię i liczbę szt.)?</t>
  </si>
  <si>
    <t xml:space="preserve">np. 'T8 fluorescencyjne — 48 szt.; halogeny — 12 szt.'
BRAK = oświetlenie zgodne z Ecodesign</t>
  </si>
  <si>
    <t xml:space="preserve">Z-04</t>
  </si>
  <si>
    <t xml:space="preserve">Czy oświetlenie LED spełnia klasę E lub wyższą (Rozp. EU 2021/2015)?</t>
  </si>
  <si>
    <t xml:space="preserve">TAK (etykieta A+++/A++/A+/A/B/C/D/E) / NIE — klasa F lub G = niezgodne
Klasa produktu widoczna na opakowaniu lub etykiecie produktu LED</t>
  </si>
  <si>
    <t xml:space="preserve">Z-05</t>
  </si>
  <si>
    <t xml:space="preserve">Czy oświetlenie w tej strefie jest SEU (Significant Energy User)?</t>
  </si>
  <si>
    <t xml:space="preserve">TAK gdy: zużycie &gt;50 MWh/rok LUB &gt;10% całkowitego zużycia energii zakładu
Jeśli SEU → wymagane: pomiary natężenia, EnPI, EnB, plan oszczędności</t>
  </si>
  <si>
    <t xml:space="preserve">Z-06</t>
  </si>
  <si>
    <t xml:space="preserve">STWIERDZONE NIEZGODNOŚCI (numer pytania + opis) → Z-ZSZ-REG-01</t>
  </si>
  <si>
    <t xml:space="preserve">np. 'Z-01: 48 szt. T8 — plan wymiany na LED; Z-03: halogeny w WC'
BRAK = strefa zgodna z Ecodesign i wymaganiami ISO 50001</t>
  </si>
  <si>
    <t xml:space="preserve">  ENESA  ·  A-EnMS-LGT-01  ·  ANKIETA ETAP 1  ·  v3.0  ·  LGT=Lighting  ·  Rozp.UE 2019/2020  ·  PN-EN 12464-1  ·  ISO 50001</t>
  </si>
  <si>
    <t xml:space="preserve">ENESA  ·  PASZPORT LGT  ·  A-EnMS-LGT-01  ·  ETAP 2 — OBLICZENIA ENERGETYCZNE</t>
  </si>
  <si>
    <t xml:space="preserve">Wypełnia: Energy Manager  ·  Pola NIEBIESKIE = wpisz  ·  Pola SZARE = formuły Excel</t>
  </si>
  <si>
    <t xml:space="preserve">Parametr (z inwentaryzacji / DTR)</t>
  </si>
  <si>
    <t xml:space="preserve">Wartość</t>
  </si>
  <si>
    <t xml:space="preserve">Norma / Źródło</t>
  </si>
  <si>
    <t xml:space="preserve">Wskazówka / Wzór</t>
  </si>
  <si>
    <t xml:space="preserve">  SEKCJA 1 — DANE TECHNICZNE OPRAW (z katalogów producenta / DTR)</t>
  </si>
  <si>
    <t xml:space="preserve">Technologia dominująca</t>
  </si>
  <si>
    <t xml:space="preserve">Etap1 B-01</t>
  </si>
  <si>
    <t xml:space="preserve">LED / T8 / T5 / CFL / HPS / MH / Halogenowa / Mieszana</t>
  </si>
  <si>
    <t xml:space="preserve">Łączna zainstalowana moc oświetlenia [W]</t>
  </si>
  <si>
    <t xml:space="preserve">W</t>
  </si>
  <si>
    <t xml:space="preserve">Etap1 Blok B (SUMA)</t>
  </si>
  <si>
    <t xml:space="preserve">Suma kolumny 'Łączna moc [W]' z tabeli Etap1. Jeśli brak tabeli — szacunek</t>
  </si>
  <si>
    <t xml:space="preserve">Łączna zainstalowana moc [kW]</t>
  </si>
  <si>
    <t xml:space="preserve">OBLICZONA</t>
  </si>
  <si>
    <t xml:space="preserve">Liczba opraw łącznie [szt.]</t>
  </si>
  <si>
    <t xml:space="preserve">szt.</t>
  </si>
  <si>
    <t xml:space="preserve">Etap1 Blok B (SUMA szt.)</t>
  </si>
  <si>
    <t xml:space="preserve">Strumień świetlny łączny [lm]</t>
  </si>
  <si>
    <t xml:space="preserve">lm</t>
  </si>
  <si>
    <t xml:space="preserve">Katalog producenta</t>
  </si>
  <si>
    <t xml:space="preserve">Suma lumenów wszystkich opraw. Z karty katalogowej producenta (data sheet)</t>
  </si>
  <si>
    <t xml:space="preserve">Efektywność świetlna opraw [lm/W]</t>
  </si>
  <si>
    <t xml:space="preserve">OBLICZONA · lm/W</t>
  </si>
  <si>
    <t xml:space="preserve"> = strumień_lm / moc_W. Benchmark: LED &gt;100 lm/W · T8 ~85 · HPS ~100 · MH ~90</t>
  </si>
  <si>
    <t xml:space="preserve">Natężenie oświetlenia projektowe / zmierzone [lux]</t>
  </si>
  <si>
    <t xml:space="preserve">PN-EN 12464-1</t>
  </si>
  <si>
    <t xml:space="preserve">Etap1 A-05 lub z protokołu pomiarów luxmierza</t>
  </si>
  <si>
    <t xml:space="preserve">Wskaźnik oddawania barw CRI / Ra</t>
  </si>
  <si>
    <t xml:space="preserve">Karta katalogowa</t>
  </si>
  <si>
    <t xml:space="preserve">CRI &gt;80 = dobry (biura, produkcja) · CRI &gt;90 = bardzo dobry (kontrola jakości, laboratoria)</t>
  </si>
  <si>
    <t xml:space="preserve">Temperatura barwowa [K]</t>
  </si>
  <si>
    <t xml:space="preserve">K</t>
  </si>
  <si>
    <t xml:space="preserve">2700-3000K = ciepła (socjalne) · 4000K = neutralna (hale, biura) · 5000-6500K = zimna (precyzja)</t>
  </si>
  <si>
    <t xml:space="preserve">Żywotność opraw deklarowana przez producenta [h]</t>
  </si>
  <si>
    <t xml:space="preserve">h</t>
  </si>
  <si>
    <t xml:space="preserve">LED: 25 000-80 000h · T8: 10 000-20 000h · HPS: 12 000-24 000h</t>
  </si>
  <si>
    <t xml:space="preserve">Rok instalacji / wiek oświetlenia</t>
  </si>
  <si>
    <t xml:space="preserve">Etap1 B-03</t>
  </si>
  <si>
    <t xml:space="preserve">Wiek = obecny rok - rok instalacji</t>
  </si>
  <si>
    <t xml:space="preserve">  SEKCJA 2 — DANE EKSPLOATACYJNE I OBLICZENIA EnPI</t>
  </si>
  <si>
    <t xml:space="preserve">Moc zainstalowana [kW] — do obliczeń</t>
  </si>
  <si>
    <t xml:space="preserve">kW</t>
  </si>
  <si>
    <t xml:space="preserve">DTR Sek.1</t>
  </si>
  <si>
    <t xml:space="preserve">Przepisz z Sekcji 1 lub formuła =B(wiersz mocy kW)</t>
  </si>
  <si>
    <t xml:space="preserve">Roczny czas pracy oświetlenia [h/rok]</t>
  </si>
  <si>
    <t xml:space="preserve">Etap1 C-06</t>
  </si>
  <si>
    <t xml:space="preserve">Z pytania C-06. Lub oblicz: liczba_zmian × h/zmianę × dni_pracy</t>
  </si>
  <si>
    <t xml:space="preserve">Współczynnik redukcji (automatyka: czujniki/dimming)</t>
  </si>
  <si>
    <t xml:space="preserve">Szacunek lub pomiar</t>
  </si>
  <si>
    <t xml:space="preserve">Jeśli BRAK automatyki: 1.0 (brak redukcji)
Czujniki obecności: 0.7-0.8 · Daylight + czujniki: 0.5-0.7 · DALI pełny: 0.5-0.6</t>
  </si>
  <si>
    <t xml:space="preserve">E_el — zużycie energii elektrycznej oświetlenia [kWh/rok]</t>
  </si>
  <si>
    <t xml:space="preserve">kWh/rok</t>
  </si>
  <si>
    <t xml:space="preserve">Licznik (Etap1 C-07) lub obliczenie</t>
  </si>
  <si>
    <t xml:space="preserve">Jeśli jest licznik — wpisz tu wartość z licznika</t>
  </si>
  <si>
    <t xml:space="preserve">Etap1 A-02</t>
  </si>
  <si>
    <t xml:space="preserve">Cena energii elektrycznej [zł/kWh]</t>
  </si>
  <si>
    <t xml:space="preserve">zł/kWh</t>
  </si>
  <si>
    <t xml:space="preserve">Faktura energii</t>
  </si>
  <si>
    <t xml:space="preserve">  SEKCJA 3 — OBLICZENIA MODELU I EnPI OŚWIETLENIA</t>
  </si>
  <si>
    <t xml:space="preserve">  E_model = P_zainstalowana [kW] × T_pracy [h/rok] × współczynnik_redukcji  ·  EnPI_pow = E_el / powierzchnia [kWh/m²/rok]  ·  EnPI_lux = E_el / (natężenie × pow × T_pracy) [kWh/(lux·m²·h)]  ·  Efektywność = E_model / E_bez_redukcji = wpływ automatyki</t>
  </si>
  <si>
    <t xml:space="preserve">E_bez_automatyki — zużycie bez sterowania [kWh/rok]</t>
  </si>
  <si>
    <t xml:space="preserve"> = P_kW × T_pracy. Bazowe zużycie bez żadnego sterowania</t>
  </si>
  <si>
    <t xml:space="preserve">E_model — zużycie z uwzględnieniem automatyki [kWh/rok]</t>
  </si>
  <si>
    <t xml:space="preserve"> = E_bez × współczynnik_redukcji</t>
  </si>
  <si>
    <t xml:space="preserve">Walidacja |ΔE| — odchylenie modelu od licznika [%]</t>
  </si>
  <si>
    <t xml:space="preserve">OBLICZONA · P-EnMS-02</t>
  </si>
  <si>
    <t xml:space="preserve"> |ΔE| = |E_model - E_licznik| / E_licznik × 100. Cel: ≤10%</t>
  </si>
  <si>
    <t xml:space="preserve">Decyzja o modelu bottom-up</t>
  </si>
  <si>
    <t xml:space="preserve">Dla oświetlenia próg walidacji ±10% (więcej niepewności niż CA)</t>
  </si>
  <si>
    <t xml:space="preserve">EnPI_pow — zużycie na m² [kWh/m²/rok]</t>
  </si>
  <si>
    <t xml:space="preserve">kWh/m²/rok</t>
  </si>
  <si>
    <t xml:space="preserve"> = E_el / powierzchnia. Benchmark:
 Hale prod. LED: &lt;15 · Hale stare T8: 30-60 · Biura LED: &lt;10 · Biura stare: 20-40 · Magazyny: &lt;8</t>
  </si>
  <si>
    <t xml:space="preserve">EnPI_zainstalowany — gęstość mocy [W/m²]</t>
  </si>
  <si>
    <t xml:space="preserve">W/m²</t>
  </si>
  <si>
    <t xml:space="preserve">OBLICZONA · PN-EN 15193</t>
  </si>
  <si>
    <t xml:space="preserve"> = P_W / pow_m². Benchmark:
 Hale LED: &lt;8 W/m² · Hale T8: 15-25 W/m² · Biura LED: &lt;10 · Biura T8: 15-20</t>
  </si>
  <si>
    <t xml:space="preserve">Koszt energii oświetlenia [zł/rok]</t>
  </si>
  <si>
    <t xml:space="preserve">zł/rok</t>
  </si>
  <si>
    <t xml:space="preserve">Oszczędność potencjalna — wymiana na LED [kWh/rok]</t>
  </si>
  <si>
    <t xml:space="preserve">Szacunek</t>
  </si>
  <si>
    <t xml:space="preserve">Jeśli nie-LED: szacunek 40-70% zużycia. Wpisz ręcznie lub oblicz: E_el × (1 - efektywność_LED/efektywność_aktualna)</t>
  </si>
  <si>
    <t xml:space="preserve">Oszczędność potencjalna — wymiana na LED [zł/rok]</t>
  </si>
  <si>
    <t xml:space="preserve">Prosty czas zwrotu inwestycji LED [lata]</t>
  </si>
  <si>
    <t xml:space="preserve">lata</t>
  </si>
  <si>
    <t xml:space="preserve">Oblicz ręcznie</t>
  </si>
  <si>
    <t xml:space="preserve"> = koszt_inwestycji / oszczędność_roczna. Typowo: 2-5 lat dla wymiany na LED</t>
  </si>
  <si>
    <t xml:space="preserve">  SEKCJA 4 — COMPLIANCE ECODESIGN I ISO 50001</t>
  </si>
  <si>
    <t xml:space="preserve">Czy są świetlówki T8/T5 (zakaz zakupu od IX.2023)?</t>
  </si>
  <si>
    <t xml:space="preserve">Etap1 Z-01</t>
  </si>
  <si>
    <t xml:space="preserve">TAK (ile szt.) = NIEZGODNOŚĆ / NIE = OK</t>
  </si>
  <si>
    <t xml:space="preserve">Czy są halogeny (wycofane od 2018)?</t>
  </si>
  <si>
    <t xml:space="preserve">Etap1 Z-02</t>
  </si>
  <si>
    <t xml:space="preserve">Technologie wymagające wymiany</t>
  </si>
  <si>
    <t xml:space="preserve">Etap1 Z-03</t>
  </si>
  <si>
    <t xml:space="preserve">Lista technologii i liczby opraw do wymiany</t>
  </si>
  <si>
    <t xml:space="preserve">Klasa Ecodesign opraw LED</t>
  </si>
  <si>
    <t xml:space="preserve">Etap1 Z-04 · Rozp.EU 2021/2015</t>
  </si>
  <si>
    <t xml:space="preserve">A+++ do E = OK · F lub G = niezgodne</t>
  </si>
  <si>
    <t xml:space="preserve">Czy strefa jest SEU?</t>
  </si>
  <si>
    <t xml:space="preserve">Etap1 Z-05 · ISO 50001 kl.6.3</t>
  </si>
  <si>
    <t xml:space="preserve">TAK → wymagane pomiary, EnPI, EnB / NIE → standardowe monitorowanie</t>
  </si>
  <si>
    <t xml:space="preserve">STATUS COMPLIANCE — Ecodesign LGT</t>
  </si>
  <si>
    <t xml:space="preserve">OBLICZONA · KLUCZOWE</t>
  </si>
  <si>
    <t xml:space="preserve">Niezgodności do Z-ZSZ-REG-01</t>
  </si>
  <si>
    <t xml:space="preserve">Etap1 Z-06</t>
  </si>
  <si>
    <t xml:space="preserve">Przepisz z Z-06. Każda niezgodność = wpis do Rejestru Wymagań Prawnych</t>
  </si>
  <si>
    <t xml:space="preserve">  ENESA  ·  A-EnMS-LGT-01  ·  ETAP 2 DTR  ·  v3.0  ·  Rozp.UE 2019/2020 · Rozp.UE 2021/2015 · PN-EN 12464-1 · PN-EN 15193</t>
  </si>
  <si>
    <t xml:space="preserve">PASZPORT ENERGETYCZNY OŚWIETLENIA — STREFA  ·  A-EnMS-LGT-01</t>
  </si>
  <si>
    <t xml:space="preserve">ISO 50001  ·  LGT=Lighting  ·  Rozp.UE 2019/2020 Ecodesign  ·  ENESA  ·  Wersja 3.0</t>
  </si>
  <si>
    <t xml:space="preserve">KOD STREFY:</t>
  </si>
  <si>
    <t xml:space="preserve">Typ strefy:</t>
  </si>
  <si>
    <t xml:space="preserve">Status:</t>
  </si>
  <si>
    <t xml:space="preserve">  1.  IDENTYFIKACJA STREFY</t>
  </si>
  <si>
    <t xml:space="preserve">Nazwa i lokalizacja strefy</t>
  </si>
  <si>
    <t xml:space="preserve">[z Etap1 A-01]</t>
  </si>
  <si>
    <t xml:space="preserve">Powierzchnia [m²]</t>
  </si>
  <si>
    <t xml:space="preserve">[z Etap1 A-02]</t>
  </si>
  <si>
    <t xml:space="preserve">Typ aktywności</t>
  </si>
  <si>
    <t xml:space="preserve">[z Etap1 A-04]</t>
  </si>
  <si>
    <t xml:space="preserve">[z DTR Sek.1]</t>
  </si>
  <si>
    <t xml:space="preserve">Łączna moc zainstalowana [kW]</t>
  </si>
  <si>
    <t xml:space="preserve">Liczba opraw [szt.]</t>
  </si>
  <si>
    <t xml:space="preserve">Efektywność świetlna [lm/W]</t>
  </si>
  <si>
    <t xml:space="preserve">Sterowanie / automatyka</t>
  </si>
  <si>
    <t xml:space="preserve">[z Etap1 C-01]</t>
  </si>
  <si>
    <t xml:space="preserve">Rok instalacji</t>
  </si>
  <si>
    <t xml:space="preserve">[z Etap1 B-03]</t>
  </si>
  <si>
    <t xml:space="preserve">  2.  KLUCZOWE WSKAŹNIKI EnPI OŚWIETLENIA  ★</t>
  </si>
  <si>
    <t xml:space="preserve">Wskaźnik</t>
  </si>
  <si>
    <t xml:space="preserve">Jednostka</t>
  </si>
  <si>
    <t xml:space="preserve">Benchmark</t>
  </si>
  <si>
    <t xml:space="preserve">Klasyfikacja</t>
  </si>
  <si>
    <t xml:space="preserve">EnPI powierzchniowy</t>
  </si>
  <si>
    <t xml:space="preserve">[z DTR Sek.3]</t>
  </si>
  <si>
    <t xml:space="preserve">Hale LED &lt;15 · Hale T8 30-60 · Biura LED &lt;10 · Magazyn &lt;8</t>
  </si>
  <si>
    <t xml:space="preserve">[auto]</t>
  </si>
  <si>
    <t xml:space="preserve">Gęstość mocy [W/m²]</t>
  </si>
  <si>
    <t xml:space="preserve">LED hale &lt;8 W/m² · LED biura &lt;10 · T8 hale 15-25 · T8 biura 15-20</t>
  </si>
  <si>
    <t xml:space="preserve">lm/W</t>
  </si>
  <si>
    <t xml:space="preserve">LED &gt;100 bardzo dobry · T8 ~85 · HPS ~100 · MH ~90 · Halogen ~20</t>
  </si>
  <si>
    <t xml:space="preserve">Walidacja |ΔE| [%]</t>
  </si>
  <si>
    <t xml:space="preserve">≤10% zatwierdzony</t>
  </si>
  <si>
    <t xml:space="preserve">Oszczędność potencjalna LED</t>
  </si>
  <si>
    <t xml:space="preserve">Jeśli nie-LED: 40-70%</t>
  </si>
  <si>
    <t xml:space="preserve">Koszt energii oświetlenia</t>
  </si>
  <si>
    <t xml:space="preserve">Prosty czas zwrotu LED [lata]</t>
  </si>
  <si>
    <t xml:space="preserve">Typowo 2-5 lat</t>
  </si>
  <si>
    <t xml:space="preserve">  3.  COMPLIANCE ECODESIGN UE 2019/2020</t>
  </si>
  <si>
    <t xml:space="preserve">Wymaganie</t>
  </si>
  <si>
    <t xml:space="preserve">Stan</t>
  </si>
  <si>
    <t xml:space="preserve">STATUS</t>
  </si>
  <si>
    <t xml:space="preserve">Podstawa prawna</t>
  </si>
  <si>
    <t xml:space="preserve">Brak świetlówek T8/T5</t>
  </si>
  <si>
    <t xml:space="preserve">[z DTR Sek.4]</t>
  </si>
  <si>
    <t xml:space="preserve">[STATUS]</t>
  </si>
  <si>
    <t xml:space="preserve">Rozp.UE 2019/2020 od IX.2023</t>
  </si>
  <si>
    <t xml:space="preserve">Brak halogenów</t>
  </si>
  <si>
    <t xml:space="preserve">Rozp.UE 2019/2020 od 2018</t>
  </si>
  <si>
    <t xml:space="preserve">LED klasa E lub wyższa</t>
  </si>
  <si>
    <t xml:space="preserve">[z Etap1 Z-04]</t>
  </si>
  <si>
    <t xml:space="preserve">[OK/NIE]</t>
  </si>
  <si>
    <t xml:space="preserve">Rozp.EU 2021/2015</t>
  </si>
  <si>
    <t xml:space="preserve">Niezgodności → Z-ZSZ-REG-01</t>
  </si>
  <si>
    <t xml:space="preserve">Rejestr wymagań prawnych</t>
  </si>
  <si>
    <t xml:space="preserve">Oświetlenie awaryjne — testy</t>
  </si>
  <si>
    <t xml:space="preserve">[z Etap1 D-03]</t>
  </si>
  <si>
    <t xml:space="preserve">[TAK/NIE]</t>
  </si>
  <si>
    <t xml:space="preserve">PN-EN 50172 · BHP</t>
  </si>
  <si>
    <t xml:space="preserve">[z Etap1 Z-05]</t>
  </si>
  <si>
    <t xml:space="preserve">ISO 50001 kl.6.3</t>
  </si>
  <si>
    <t xml:space="preserve">  4.  ZATWIERDZENIE</t>
  </si>
  <si>
    <t xml:space="preserve">Pracownik UR / EM (Etap 1):</t>
  </si>
  <si>
    <t xml:space="preserve">Podpis: ________________</t>
  </si>
  <si>
    <t xml:space="preserve">Data:</t>
  </si>
  <si>
    <t xml:space="preserve">________________</t>
  </si>
  <si>
    <t xml:space="preserve">Energy Manager (Etap 2):</t>
  </si>
  <si>
    <t xml:space="preserve">Konsultant ENESA:</t>
  </si>
  <si>
    <t xml:space="preserve">  ENESA  ·  A-EnMS-LGT-01  ·  Paszport Strefy Oświetleniowej  ·  v3.0  ·  LGT=Lighting</t>
  </si>
  <si>
    <t xml:space="preserve">ENESA  ·  SYSTEM PROMPT — AGENT 1  ·  OŚWIETLENIE (LGT = Lighting)</t>
  </si>
  <si>
    <t xml:space="preserve">Skopiuj od wiersza 5 do ###DANE_KOMPLETNE### do konfiguracji Agenta 1</t>
  </si>
  <si>
    <t xml:space="preserve">ℹ️  LGT = Lighting (angielski skrót systemów oświetleniowych — analogicznie CA, VAC, HTG, COOL)</t>
  </si>
  <si>
    <t xml:space="preserve">── POCZĄTEK SYSTEM PROMPTU ──</t>
  </si>
  <si>
    <t xml:space="preserve">Jesteś Agentem 1 (Scout) ENESA — inwentaryzujesz STREFĘ OŚWIETLENIOWĄ zakładu.</t>
  </si>
  <si>
    <t xml:space="preserve">LGT = Lighting (angielski skrót w nomenklaturze ENESA, analogicznie CA, VAC, HTG, COOL).</t>
  </si>
  <si>
    <t xml:space="preserve">Rozmawiasz z pracownikiem UR lub Energy Managerem — jedna strefa = jeden paszport.</t>
  </si>
  <si>
    <t xml:space="preserve"> === BLOK A — IDENTYFIKACJA STREFY (A-01 do A-06) ===</t>
  </si>
  <si>
    <t xml:space="preserve">A-01: nazwa i lokalizacja strefy. A-02: powierzchnia [m²]. A-03: wysokość [m].</t>
  </si>
  <si>
    <t xml:space="preserve">A-04: typ strefy. A-05: wymagane natężenie [lux]. A-06: czy są pomiary luxmierza.</t>
  </si>
  <si>
    <t xml:space="preserve"> === BLOK B — INWENTARYZACJA OPRAW (tabela + B-01 do B-06) ===</t>
  </si>
  <si>
    <t xml:space="preserve">★ KLUCZOWY BLOK — wypełnij tabelę: typ oprawy · technologia · moc [W/szt.] · liczba [szt.].</t>
  </si>
  <si>
    <t xml:space="preserve">B-01: dominująca technologia. B-02: typ statecznika (dla świetlówek).</t>
  </si>
  <si>
    <t xml:space="preserve">B-03: rok instalacji. B-04: stan odbłyśników. B-05: ocena 1-5. B-06: % niedziałających.</t>
  </si>
  <si>
    <t xml:space="preserve"> === BLOK C — STEROWANIE (C-01 do C-07) ===</t>
  </si>
  <si>
    <t xml:space="preserve">★ KLUCZOWY DLA OSZCZĘDNOŚCI.</t>
  </si>
  <si>
    <t xml:space="preserve">C-01: typ sterowania (ręczne/czujniki/DALI/BMS). C-02: czujniki obecności.</t>
  </si>
  <si>
    <t xml:space="preserve">C-03: czujniki światła dziennego. C-04: ściemnianie. C-05: harmonogram.</t>
  </si>
  <si>
    <t xml:space="preserve">C-06: roczny czas świecenia [h/rok]. C-07: licznik energii (TAK/NIE).</t>
  </si>
  <si>
    <t xml:space="preserve"> === BLOK D — OŚWIETLENIE AWARYJNE (D-01 do D-04) ===</t>
  </si>
  <si>
    <t xml:space="preserve">D-01: czy jest. D-02: typ. D-03: testy miesięczne i roczne (TAK/NIE — KLUCZOWE BHP).</t>
  </si>
  <si>
    <t xml:space="preserve">D-04: data ostatniego testu rocznego.</t>
  </si>
  <si>
    <t xml:space="preserve"> === BLOK Z — COMPLIANCE ECODESIGN (Z-01 do Z-06) — ZAWSZE ===</t>
  </si>
  <si>
    <t xml:space="preserve">★★ KLUCZOWE — pytaj o każdą strefę bez wyjątku:</t>
  </si>
  <si>
    <t xml:space="preserve">Z-01: świetlówki T8/T5? (ZAKAZ zakupu od IX.2023 — Rozp.UE 2019/2020)</t>
  </si>
  <si>
    <t xml:space="preserve">Z-02: halogeny? (ZAKAZ od 2018)</t>
  </si>
  <si>
    <t xml:space="preserve">Z-03: lista technologii do wymiany (liczba szt.).</t>
  </si>
  <si>
    <t xml:space="preserve">Z-04: klasa Ecodesign LED (E lub wyższa OK · F/G niezgodne).</t>
  </si>
  <si>
    <t xml:space="preserve">Z-05: czy strefa jest SEU ISO 50001?</t>
  </si>
  <si>
    <t xml:space="preserve">Z-06: lista niezgodności do rejestru Z-ZSZ-REG-01.</t>
  </si>
  <si>
    <t xml:space="preserve">Wpisz: ###DANE_KOMPLETNE###</t>
  </si>
  <si>
    <t xml:space="preserve"> === MAPOWANIE JSON ===</t>
  </si>
  <si>
    <t xml:space="preserve">{</t>
  </si>
  <si>
    <t xml:space="preserve">  'zone_name': 'A-01', 'area_m2': 'A-02', 'height_m': 'A-03',</t>
  </si>
  <si>
    <t xml:space="preserve">  'zone_type': 'A-04', 'required_lux': 'A-05', 'has_lux_measurement': 'A-06',</t>
  </si>
  <si>
    <t xml:space="preserve">  'lamp_technology': 'B-01', 'ballast_type': 'B-02',</t>
  </si>
  <si>
    <t xml:space="preserve">  'installation_year': 'B-03', 'reflector_condition': 'B-04',</t>
  </si>
  <si>
    <t xml:space="preserve">  'condition_score': 'B-05', 'failure_rate_pct': 'B-06',</t>
  </si>
  <si>
    <t xml:space="preserve">  'control_type': 'C-01', 'has_presence_sensors': 'C-02',</t>
  </si>
  <si>
    <t xml:space="preserve">  'has_daylight_sensors': 'C-03', 'has_dimming': 'C-04',</t>
  </si>
  <si>
    <t xml:space="preserve">  'operating_schedule': 'C-05', 'operating_hours_year': 'C-06',</t>
  </si>
  <si>
    <t xml:space="preserve">  'has_energy_meter': 'C-07',</t>
  </si>
  <si>
    <t xml:space="preserve">  'has_emergency_lighting': 'D-01', 'emergency_tests_done': 'D-03',</t>
  </si>
  <si>
    <t xml:space="preserve">  'has_t8_t5': 'Z-01', 'has_halogens': 'Z-02',</t>
  </si>
  <si>
    <t xml:space="preserve">  'lamps_to_replace': 'Z-03', 'led_ecodesign_class': 'Z-04',</t>
  </si>
  <si>
    <t xml:space="preserve">  'is_seu': 'Z-05', 'compliance_issues': 'Z-06'</t>
  </si>
  <si>
    <t xml:space="preserve">}</t>
  </si>
  <si>
    <t xml:space="preserve">── KONIEC SYSTEM PROMPTU ──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</si>
</sst>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9"/>
      <color rgb="FF1A3A5C"/>
      <name val="Arial"/>
      <family val="0"/>
      <charset val="1"/>
    </font>
    <font>
      <sz val="9"/>
      <color rgb="FF1A3A5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4A7C3F"/>
      <name val="Arial"/>
      <family val="0"/>
      <charset val="1"/>
    </font>
    <font>
      <sz val="10"/>
      <color rgb="FF1A3A5C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3A5C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10"/>
      <color rgb="FF4A7C3F"/>
      <name val="Arial"/>
      <family val="0"/>
      <charset val="1"/>
    </font>
    <font>
      <sz val="10"/>
      <color rgb="FF000080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sz val="9"/>
      <color rgb="FF1A1A2E"/>
      <name val="Courier New"/>
      <family val="0"/>
      <charset val="1"/>
    </font>
    <font>
      <sz val="9"/>
      <name val="Courier New"/>
      <family val="0"/>
      <charset val="1"/>
    </font>
    <font>
      <b val="true"/>
      <sz val="10"/>
      <color rgb="FF4A7C3F"/>
      <name val="Courier New"/>
      <family val="0"/>
      <charset val="1"/>
    </font>
    <font>
      <b val="true"/>
      <sz val="10"/>
      <color rgb="FFC0392B"/>
      <name val="Courier New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4A7C3F"/>
        <bgColor rgb="FF1E7B34"/>
      </patternFill>
    </fill>
    <fill>
      <patternFill patternType="solid">
        <fgColor rgb="FFD9EDD6"/>
        <bgColor rgb="FFD9F0E0"/>
      </patternFill>
    </fill>
    <fill>
      <patternFill patternType="solid">
        <fgColor rgb="FFFFF2CC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F4F4F4"/>
        <bgColor rgb="FFF0F4F8"/>
      </patternFill>
    </fill>
    <fill>
      <patternFill patternType="solid">
        <fgColor rgb="FFF0F4F8"/>
        <bgColor rgb="FFF4F4F4"/>
      </patternFill>
    </fill>
    <fill>
      <patternFill patternType="solid">
        <fgColor rgb="FF2E6DA4"/>
        <bgColor rgb="FF1A7A6E"/>
      </patternFill>
    </fill>
    <fill>
      <patternFill patternType="solid">
        <fgColor rgb="FFD6E4F0"/>
        <bgColor rgb="FFD0EEEB"/>
      </patternFill>
    </fill>
    <fill>
      <patternFill patternType="solid">
        <fgColor rgb="FFC0392B"/>
        <bgColor rgb="FF993366"/>
      </patternFill>
    </fill>
    <fill>
      <patternFill patternType="solid">
        <fgColor rgb="FFFADBD8"/>
        <bgColor rgb="FFFFF2CC"/>
      </patternFill>
    </fill>
    <fill>
      <patternFill patternType="solid">
        <fgColor rgb="FF1A3A5C"/>
        <bgColor rgb="FF333399"/>
      </patternFill>
    </fill>
    <fill>
      <patternFill patternType="solid">
        <fgColor rgb="FFEBF3FB"/>
        <bgColor rgb="FFF0F4F8"/>
      </patternFill>
    </fill>
    <fill>
      <patternFill patternType="solid">
        <fgColor rgb="FF1A7A6E"/>
        <bgColor rgb="FF008080"/>
      </patternFill>
    </fill>
    <fill>
      <patternFill patternType="solid">
        <fgColor rgb="FFD0EEEB"/>
        <bgColor rgb="FFD9F0E0"/>
      </patternFill>
    </fill>
    <fill>
      <patternFill patternType="solid">
        <fgColor rgb="FFD9F0E0"/>
        <bgColor rgb="FFD9ED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4A7C3F"/>
      </left>
      <right style="thin">
        <color rgb="FF4A7C3F"/>
      </right>
      <top style="thin">
        <color rgb="FF4A7C3F"/>
      </top>
      <bottom style="thin">
        <color rgb="FF4A7C3F"/>
      </bottom>
      <diagonal/>
    </border>
    <border diagonalUp="false" diagonalDown="false">
      <left style="thin">
        <color rgb="FF1A3A5C"/>
      </left>
      <right style="thin">
        <color rgb="FF1A3A5C"/>
      </right>
      <top style="thin">
        <color rgb="FF1A3A5C"/>
      </top>
      <bottom style="thin">
        <color rgb="FF1A3A5C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1A7A6E"/>
      <rgbColor rgb="FFCCCCCC"/>
      <rgbColor rgb="FF7F7F7F"/>
      <rgbColor rgb="FF9999FF"/>
      <rgbColor rgb="FF993366"/>
      <rgbColor rgb="FFFFF2CC"/>
      <rgbColor rgb="FFD0EEEB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9F0E0"/>
      <rgbColor rgb="FFF4F4F4"/>
      <rgbColor rgb="FFD9EDD6"/>
      <rgbColor rgb="FFF0F4F8"/>
      <rgbColor rgb="FFCC99FF"/>
      <rgbColor rgb="FFFADBD8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1A3A5C"/>
      <rgbColor rgb="FF4A7C3F"/>
      <rgbColor rgb="FF003300"/>
      <rgbColor rgb="FF333300"/>
      <rgbColor rgb="FFC0392B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7722"/>
    <pageSetUpPr fitToPage="false"/>
  </sheetPr>
  <dimension ref="A1:E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4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</v>
      </c>
      <c r="B3" s="4"/>
      <c r="C3" s="3" t="s">
        <v>3</v>
      </c>
      <c r="D3" s="4"/>
      <c r="E3" s="3" t="s">
        <v>4</v>
      </c>
    </row>
    <row r="4" customFormat="false" ht="19.5" hidden="false" customHeight="true" outlineLevel="0" collapsed="false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customFormat="false" ht="21.75" hidden="false" customHeight="true" outlineLevel="0" collapsed="false">
      <c r="A5" s="6" t="s">
        <v>10</v>
      </c>
      <c r="B5" s="6"/>
      <c r="C5" s="6"/>
      <c r="D5" s="6"/>
      <c r="E5" s="6"/>
    </row>
    <row r="6" customFormat="false" ht="31.5" hidden="false" customHeight="true" outlineLevel="0" collapsed="false">
      <c r="A6" s="7" t="s">
        <v>11</v>
      </c>
      <c r="B6" s="8" t="s">
        <v>12</v>
      </c>
      <c r="C6" s="9"/>
      <c r="D6" s="10"/>
      <c r="E6" s="11" t="s">
        <v>13</v>
      </c>
    </row>
    <row r="7" customFormat="false" ht="31.5" hidden="false" customHeight="true" outlineLevel="0" collapsed="false">
      <c r="A7" s="7" t="s">
        <v>14</v>
      </c>
      <c r="B7" s="8" t="s">
        <v>15</v>
      </c>
      <c r="C7" s="9"/>
      <c r="D7" s="10" t="s">
        <v>16</v>
      </c>
      <c r="E7" s="11" t="s">
        <v>17</v>
      </c>
    </row>
    <row r="8" customFormat="false" ht="31.5" hidden="false" customHeight="true" outlineLevel="0" collapsed="false">
      <c r="A8" s="7" t="s">
        <v>18</v>
      </c>
      <c r="B8" s="8" t="s">
        <v>19</v>
      </c>
      <c r="C8" s="9"/>
      <c r="D8" s="10" t="s">
        <v>20</v>
      </c>
      <c r="E8" s="11" t="s">
        <v>21</v>
      </c>
    </row>
    <row r="9" customFormat="false" ht="31.5" hidden="false" customHeight="true" outlineLevel="0" collapsed="false">
      <c r="A9" s="7" t="s">
        <v>22</v>
      </c>
      <c r="B9" s="8" t="s">
        <v>23</v>
      </c>
      <c r="C9" s="9"/>
      <c r="D9" s="10"/>
      <c r="E9" s="11" t="s">
        <v>24</v>
      </c>
    </row>
    <row r="10" customFormat="false" ht="48" hidden="false" customHeight="true" outlineLevel="0" collapsed="false">
      <c r="A10" s="7" t="s">
        <v>25</v>
      </c>
      <c r="B10" s="8" t="s">
        <v>26</v>
      </c>
      <c r="C10" s="9"/>
      <c r="D10" s="10" t="s">
        <v>27</v>
      </c>
      <c r="E10" s="11" t="s">
        <v>28</v>
      </c>
    </row>
    <row r="11" customFormat="false" ht="48" hidden="false" customHeight="true" outlineLevel="0" collapsed="false">
      <c r="A11" s="7" t="s">
        <v>29</v>
      </c>
      <c r="B11" s="8" t="s">
        <v>30</v>
      </c>
      <c r="C11" s="9"/>
      <c r="D11" s="10"/>
      <c r="E11" s="11" t="s">
        <v>31</v>
      </c>
    </row>
    <row r="12" customFormat="false" ht="21.75" hidden="false" customHeight="true" outlineLevel="0" collapsed="false">
      <c r="A12" s="6" t="s">
        <v>32</v>
      </c>
      <c r="B12" s="6"/>
      <c r="C12" s="6"/>
      <c r="D12" s="6"/>
      <c r="E12" s="6"/>
    </row>
    <row r="13" customFormat="false" ht="43.5" hidden="false" customHeight="true" outlineLevel="0" collapsed="false">
      <c r="A13" s="12" t="s">
        <v>33</v>
      </c>
      <c r="B13" s="12"/>
      <c r="C13" s="12"/>
      <c r="D13" s="12"/>
      <c r="E13" s="12"/>
    </row>
    <row r="14" customFormat="false" ht="21.75" hidden="false" customHeight="true" outlineLevel="0" collapsed="false">
      <c r="A14" s="13" t="s">
        <v>34</v>
      </c>
    </row>
    <row r="15" customFormat="false" ht="15" hidden="false" customHeight="false" outlineLevel="0" collapsed="false">
      <c r="B15" s="13" t="s">
        <v>35</v>
      </c>
    </row>
    <row r="16" customFormat="false" ht="15" hidden="false" customHeight="false" outlineLevel="0" collapsed="false">
      <c r="C16" s="13" t="s">
        <v>36</v>
      </c>
    </row>
    <row r="17" customFormat="false" ht="15" hidden="false" customHeight="false" outlineLevel="0" collapsed="false">
      <c r="D17" s="13" t="s">
        <v>37</v>
      </c>
    </row>
    <row r="18" customFormat="false" ht="15" hidden="false" customHeight="false" outlineLevel="0" collapsed="false">
      <c r="E18" s="13" t="s">
        <v>38</v>
      </c>
    </row>
    <row r="19" customFormat="false" ht="21.75" hidden="false" customHeight="true" outlineLevel="0" collapsed="false">
      <c r="A19" s="9"/>
      <c r="B19" s="9"/>
      <c r="C19" s="9"/>
      <c r="D19" s="9"/>
      <c r="E19" s="14" t="s">
        <v>39</v>
      </c>
    </row>
    <row r="20" customFormat="false" ht="21.75" hidden="false" customHeight="true" outlineLevel="0" collapsed="false">
      <c r="A20" s="15"/>
      <c r="B20" s="15"/>
      <c r="C20" s="15"/>
      <c r="D20" s="15"/>
      <c r="E20" s="14" t="s">
        <v>40</v>
      </c>
    </row>
    <row r="21" customFormat="false" ht="21.75" hidden="false" customHeight="true" outlineLevel="0" collapsed="false">
      <c r="A21" s="9"/>
      <c r="B21" s="9"/>
      <c r="C21" s="9"/>
      <c r="D21" s="9"/>
      <c r="E21" s="14" t="s">
        <v>41</v>
      </c>
    </row>
    <row r="22" customFormat="false" ht="21.75" hidden="false" customHeight="true" outlineLevel="0" collapsed="false">
      <c r="A22" s="15"/>
      <c r="B22" s="15"/>
      <c r="C22" s="15"/>
      <c r="D22" s="15"/>
      <c r="E22" s="14" t="s">
        <v>42</v>
      </c>
    </row>
    <row r="23" customFormat="false" ht="21.75" hidden="false" customHeight="true" outlineLevel="0" collapsed="false">
      <c r="A23" s="9"/>
      <c r="B23" s="9"/>
      <c r="C23" s="9"/>
      <c r="D23" s="9"/>
      <c r="E23" s="14" t="s">
        <v>43</v>
      </c>
    </row>
    <row r="24" customFormat="false" ht="21.75" hidden="false" customHeight="true" outlineLevel="0" collapsed="false">
      <c r="A24" s="15"/>
      <c r="B24" s="15"/>
      <c r="C24" s="15"/>
      <c r="D24" s="15"/>
      <c r="E24" s="14" t="s">
        <v>44</v>
      </c>
    </row>
    <row r="25" customFormat="false" ht="21.75" hidden="false" customHeight="true" outlineLevel="0" collapsed="false">
      <c r="A25" s="16" t="s">
        <v>45</v>
      </c>
      <c r="B25" s="15"/>
      <c r="C25" s="15"/>
      <c r="D25" s="15"/>
      <c r="E25" s="14" t="s">
        <v>46</v>
      </c>
    </row>
    <row r="26" customFormat="false" ht="30" hidden="false" customHeight="true" outlineLevel="0" collapsed="false">
      <c r="A26" s="7" t="s">
        <v>47</v>
      </c>
      <c r="B26" s="8" t="s">
        <v>48</v>
      </c>
      <c r="C26" s="9"/>
      <c r="D26" s="10"/>
      <c r="E26" s="11" t="s">
        <v>49</v>
      </c>
    </row>
    <row r="27" customFormat="false" ht="30" hidden="false" customHeight="true" outlineLevel="0" collapsed="false">
      <c r="A27" s="7" t="s">
        <v>50</v>
      </c>
      <c r="B27" s="8" t="s">
        <v>51</v>
      </c>
      <c r="C27" s="9"/>
      <c r="D27" s="10"/>
      <c r="E27" s="11" t="s">
        <v>52</v>
      </c>
    </row>
    <row r="28" customFormat="false" ht="30" hidden="false" customHeight="true" outlineLevel="0" collapsed="false">
      <c r="A28" s="7" t="s">
        <v>53</v>
      </c>
      <c r="B28" s="8" t="s">
        <v>54</v>
      </c>
      <c r="C28" s="9"/>
      <c r="D28" s="10" t="s">
        <v>55</v>
      </c>
      <c r="E28" s="11" t="s">
        <v>56</v>
      </c>
    </row>
    <row r="29" customFormat="false" ht="30" hidden="false" customHeight="true" outlineLevel="0" collapsed="false">
      <c r="A29" s="7" t="s">
        <v>57</v>
      </c>
      <c r="B29" s="8" t="s">
        <v>58</v>
      </c>
      <c r="C29" s="9"/>
      <c r="D29" s="10"/>
      <c r="E29" s="11" t="s">
        <v>59</v>
      </c>
    </row>
    <row r="30" customFormat="false" ht="30" hidden="false" customHeight="true" outlineLevel="0" collapsed="false">
      <c r="A30" s="7" t="s">
        <v>60</v>
      </c>
      <c r="B30" s="8" t="s">
        <v>61</v>
      </c>
      <c r="C30" s="9"/>
      <c r="D30" s="10"/>
      <c r="E30" s="11" t="s">
        <v>62</v>
      </c>
    </row>
    <row r="31" customFormat="false" ht="30" hidden="false" customHeight="true" outlineLevel="0" collapsed="false">
      <c r="A31" s="7" t="s">
        <v>63</v>
      </c>
      <c r="B31" s="8" t="s">
        <v>64</v>
      </c>
      <c r="C31" s="9"/>
      <c r="D31" s="10" t="s">
        <v>65</v>
      </c>
      <c r="E31" s="11" t="s">
        <v>66</v>
      </c>
    </row>
    <row r="32" customFormat="false" ht="21.75" hidden="false" customHeight="true" outlineLevel="0" collapsed="false">
      <c r="A32" s="17" t="s">
        <v>67</v>
      </c>
      <c r="B32" s="17"/>
      <c r="C32" s="17"/>
      <c r="D32" s="17"/>
      <c r="E32" s="17"/>
    </row>
    <row r="33" customFormat="false" ht="48" hidden="false" customHeight="true" outlineLevel="0" collapsed="false">
      <c r="A33" s="18" t="s">
        <v>68</v>
      </c>
      <c r="B33" s="18"/>
      <c r="C33" s="18"/>
      <c r="D33" s="18"/>
      <c r="E33" s="18"/>
    </row>
    <row r="34" customFormat="false" ht="31.5" hidden="false" customHeight="true" outlineLevel="0" collapsed="false">
      <c r="A34" s="7" t="s">
        <v>69</v>
      </c>
      <c r="B34" s="8" t="s">
        <v>70</v>
      </c>
      <c r="C34" s="9"/>
      <c r="D34" s="10"/>
      <c r="E34" s="11" t="s">
        <v>71</v>
      </c>
    </row>
    <row r="35" customFormat="false" ht="31.5" hidden="false" customHeight="true" outlineLevel="0" collapsed="false">
      <c r="A35" s="7" t="s">
        <v>72</v>
      </c>
      <c r="B35" s="8" t="s">
        <v>73</v>
      </c>
      <c r="C35" s="9"/>
      <c r="D35" s="10"/>
      <c r="E35" s="11" t="s">
        <v>74</v>
      </c>
    </row>
    <row r="36" customFormat="false" ht="31.5" hidden="false" customHeight="true" outlineLevel="0" collapsed="false">
      <c r="A36" s="7" t="s">
        <v>75</v>
      </c>
      <c r="B36" s="8" t="s">
        <v>76</v>
      </c>
      <c r="C36" s="9"/>
      <c r="D36" s="10"/>
      <c r="E36" s="11" t="s">
        <v>77</v>
      </c>
    </row>
    <row r="37" customFormat="false" ht="31.5" hidden="false" customHeight="true" outlineLevel="0" collapsed="false">
      <c r="A37" s="7" t="s">
        <v>78</v>
      </c>
      <c r="B37" s="8" t="s">
        <v>79</v>
      </c>
      <c r="C37" s="9"/>
      <c r="D37" s="10"/>
      <c r="E37" s="11" t="s">
        <v>80</v>
      </c>
    </row>
    <row r="38" customFormat="false" ht="31.5" hidden="false" customHeight="true" outlineLevel="0" collapsed="false">
      <c r="A38" s="7" t="s">
        <v>81</v>
      </c>
      <c r="B38" s="8" t="s">
        <v>82</v>
      </c>
      <c r="C38" s="9"/>
      <c r="D38" s="10"/>
      <c r="E38" s="11" t="s">
        <v>83</v>
      </c>
    </row>
    <row r="39" customFormat="false" ht="48" hidden="false" customHeight="true" outlineLevel="0" collapsed="false">
      <c r="A39" s="7" t="s">
        <v>84</v>
      </c>
      <c r="B39" s="8" t="s">
        <v>85</v>
      </c>
      <c r="C39" s="9"/>
      <c r="D39" s="10" t="s">
        <v>86</v>
      </c>
      <c r="E39" s="11" t="s">
        <v>87</v>
      </c>
    </row>
    <row r="40" customFormat="false" ht="31.5" hidden="false" customHeight="true" outlineLevel="0" collapsed="false">
      <c r="A40" s="7" t="s">
        <v>88</v>
      </c>
      <c r="B40" s="8" t="s">
        <v>89</v>
      </c>
      <c r="C40" s="9"/>
      <c r="D40" s="10"/>
      <c r="E40" s="11" t="s">
        <v>90</v>
      </c>
    </row>
    <row r="41" customFormat="false" ht="21.75" hidden="false" customHeight="true" outlineLevel="0" collapsed="false">
      <c r="A41" s="19" t="s">
        <v>91</v>
      </c>
      <c r="B41" s="19"/>
      <c r="C41" s="19"/>
      <c r="D41" s="19"/>
      <c r="E41" s="19"/>
    </row>
    <row r="42" customFormat="false" ht="39.75" hidden="false" customHeight="true" outlineLevel="0" collapsed="false">
      <c r="A42" s="20" t="s">
        <v>92</v>
      </c>
      <c r="B42" s="20"/>
      <c r="C42" s="20"/>
      <c r="D42" s="20"/>
      <c r="E42" s="20"/>
    </row>
    <row r="43" customFormat="false" ht="27.75" hidden="false" customHeight="true" outlineLevel="0" collapsed="false">
      <c r="A43" s="7" t="s">
        <v>93</v>
      </c>
      <c r="B43" s="8" t="s">
        <v>94</v>
      </c>
      <c r="C43" s="9"/>
      <c r="D43" s="10"/>
      <c r="E43" s="11" t="s">
        <v>95</v>
      </c>
    </row>
    <row r="44" customFormat="false" ht="27.75" hidden="false" customHeight="true" outlineLevel="0" collapsed="false">
      <c r="A44" s="7" t="s">
        <v>96</v>
      </c>
      <c r="B44" s="8" t="s">
        <v>97</v>
      </c>
      <c r="C44" s="9"/>
      <c r="D44" s="10"/>
      <c r="E44" s="11" t="s">
        <v>98</v>
      </c>
    </row>
    <row r="45" customFormat="false" ht="39.75" hidden="false" customHeight="true" outlineLevel="0" collapsed="false">
      <c r="A45" s="7" t="s">
        <v>99</v>
      </c>
      <c r="B45" s="8" t="s">
        <v>100</v>
      </c>
      <c r="C45" s="21"/>
      <c r="D45" s="10"/>
      <c r="E45" s="11" t="s">
        <v>101</v>
      </c>
    </row>
    <row r="46" customFormat="false" ht="27.75" hidden="false" customHeight="true" outlineLevel="0" collapsed="false">
      <c r="A46" s="7" t="s">
        <v>102</v>
      </c>
      <c r="B46" s="8" t="s">
        <v>103</v>
      </c>
      <c r="C46" s="9"/>
      <c r="D46" s="10"/>
      <c r="E46" s="11" t="s">
        <v>104</v>
      </c>
    </row>
    <row r="47" customFormat="false" ht="21.75" hidden="false" customHeight="true" outlineLevel="0" collapsed="false">
      <c r="A47" s="22" t="s">
        <v>105</v>
      </c>
      <c r="B47" s="22"/>
      <c r="C47" s="22"/>
      <c r="D47" s="22"/>
      <c r="E47" s="22"/>
    </row>
    <row r="48" customFormat="false" ht="72" hidden="false" customHeight="true" outlineLevel="0" collapsed="false">
      <c r="A48" s="20" t="s">
        <v>106</v>
      </c>
      <c r="B48" s="20"/>
      <c r="C48" s="20"/>
      <c r="D48" s="20"/>
      <c r="E48" s="20"/>
    </row>
    <row r="49" customFormat="false" ht="51.75" hidden="false" customHeight="true" outlineLevel="0" collapsed="false">
      <c r="A49" s="7" t="s">
        <v>107</v>
      </c>
      <c r="B49" s="8" t="s">
        <v>108</v>
      </c>
      <c r="C49" s="21"/>
      <c r="D49" s="10"/>
      <c r="E49" s="11" t="s">
        <v>109</v>
      </c>
    </row>
    <row r="50" customFormat="false" ht="51.75" hidden="false" customHeight="true" outlineLevel="0" collapsed="false">
      <c r="A50" s="7" t="s">
        <v>110</v>
      </c>
      <c r="B50" s="8" t="s">
        <v>111</v>
      </c>
      <c r="C50" s="21"/>
      <c r="D50" s="10"/>
      <c r="E50" s="11" t="s">
        <v>112</v>
      </c>
    </row>
    <row r="51" customFormat="false" ht="51.75" hidden="false" customHeight="true" outlineLevel="0" collapsed="false">
      <c r="A51" s="7" t="s">
        <v>113</v>
      </c>
      <c r="B51" s="8" t="s">
        <v>114</v>
      </c>
      <c r="C51" s="21"/>
      <c r="D51" s="10"/>
      <c r="E51" s="11" t="s">
        <v>115</v>
      </c>
    </row>
    <row r="52" customFormat="false" ht="51.75" hidden="false" customHeight="true" outlineLevel="0" collapsed="false">
      <c r="A52" s="7" t="s">
        <v>116</v>
      </c>
      <c r="B52" s="8" t="s">
        <v>117</v>
      </c>
      <c r="C52" s="9"/>
      <c r="D52" s="10"/>
      <c r="E52" s="11" t="s">
        <v>118</v>
      </c>
    </row>
    <row r="53" customFormat="false" ht="51.75" hidden="false" customHeight="true" outlineLevel="0" collapsed="false">
      <c r="A53" s="7" t="s">
        <v>119</v>
      </c>
      <c r="B53" s="8" t="s">
        <v>120</v>
      </c>
      <c r="C53" s="9"/>
      <c r="D53" s="10"/>
      <c r="E53" s="11" t="s">
        <v>121</v>
      </c>
    </row>
    <row r="54" customFormat="false" ht="51.75" hidden="false" customHeight="true" outlineLevel="0" collapsed="false">
      <c r="A54" s="7" t="s">
        <v>122</v>
      </c>
      <c r="B54" s="8" t="s">
        <v>123</v>
      </c>
      <c r="C54" s="21"/>
      <c r="D54" s="10"/>
      <c r="E54" s="11" t="s">
        <v>124</v>
      </c>
    </row>
    <row r="55" customFormat="false" ht="13.5" hidden="false" customHeight="true" outlineLevel="0" collapsed="false">
      <c r="A55" s="23" t="s">
        <v>125</v>
      </c>
      <c r="B55" s="23"/>
      <c r="C55" s="23"/>
      <c r="D55" s="23"/>
      <c r="E55" s="23"/>
    </row>
  </sheetData>
  <mergeCells count="12">
    <mergeCell ref="A1:E1"/>
    <mergeCell ref="A2:E2"/>
    <mergeCell ref="A5:E5"/>
    <mergeCell ref="A12:E12"/>
    <mergeCell ref="A13:E13"/>
    <mergeCell ref="A32:E32"/>
    <mergeCell ref="A33:E33"/>
    <mergeCell ref="A41:E41"/>
    <mergeCell ref="A42:E42"/>
    <mergeCell ref="A47:E47"/>
    <mergeCell ref="A48:E48"/>
    <mergeCell ref="A55:E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6DA4"/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42" hidden="false" customHeight="true" outlineLevel="0" collapsed="false">
      <c r="A1" s="1" t="s">
        <v>126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127</v>
      </c>
      <c r="B2" s="2"/>
      <c r="C2" s="2"/>
      <c r="D2" s="2"/>
      <c r="E2" s="2"/>
    </row>
    <row r="3" customFormat="false" ht="19.5" hidden="false" customHeight="true" outlineLevel="0" collapsed="false">
      <c r="A3" s="5" t="s">
        <v>128</v>
      </c>
      <c r="B3" s="5" t="s">
        <v>129</v>
      </c>
      <c r="C3" s="5" t="s">
        <v>8</v>
      </c>
      <c r="D3" s="5" t="s">
        <v>130</v>
      </c>
      <c r="E3" s="5" t="s">
        <v>131</v>
      </c>
    </row>
    <row r="4" customFormat="false" ht="21.75" hidden="false" customHeight="true" outlineLevel="0" collapsed="false">
      <c r="A4" s="24" t="s">
        <v>132</v>
      </c>
      <c r="B4" s="24"/>
      <c r="C4" s="24"/>
      <c r="D4" s="24"/>
      <c r="E4" s="24"/>
    </row>
    <row r="5" customFormat="false" ht="27.75" hidden="false" customHeight="true" outlineLevel="0" collapsed="false">
      <c r="A5" s="8" t="s">
        <v>133</v>
      </c>
      <c r="B5" s="25"/>
      <c r="C5" s="10"/>
      <c r="D5" s="26" t="s">
        <v>134</v>
      </c>
      <c r="E5" s="11" t="s">
        <v>135</v>
      </c>
    </row>
    <row r="6" customFormat="false" ht="27.75" hidden="false" customHeight="true" outlineLevel="0" collapsed="false">
      <c r="A6" s="8" t="s">
        <v>136</v>
      </c>
      <c r="B6" s="25"/>
      <c r="C6" s="10" t="s">
        <v>137</v>
      </c>
      <c r="D6" s="26" t="s">
        <v>138</v>
      </c>
      <c r="E6" s="11" t="s">
        <v>139</v>
      </c>
    </row>
    <row r="7" customFormat="false" ht="27.75" hidden="false" customHeight="true" outlineLevel="0" collapsed="false">
      <c r="A7" s="8" t="s">
        <v>140</v>
      </c>
      <c r="B7" s="25"/>
      <c r="C7" s="10" t="str">
        <f aca="false">IF(B6&lt;&gt;"",B6/1000,"")</f>
        <v/>
      </c>
      <c r="D7" s="26" t="s">
        <v>141</v>
      </c>
      <c r="E7" s="11"/>
    </row>
    <row r="8" customFormat="false" ht="27.75" hidden="false" customHeight="true" outlineLevel="0" collapsed="false">
      <c r="A8" s="8" t="s">
        <v>142</v>
      </c>
      <c r="B8" s="25"/>
      <c r="C8" s="10" t="s">
        <v>143</v>
      </c>
      <c r="D8" s="26" t="s">
        <v>144</v>
      </c>
      <c r="E8" s="11"/>
    </row>
    <row r="9" customFormat="false" ht="27.75" hidden="false" customHeight="true" outlineLevel="0" collapsed="false">
      <c r="A9" s="8" t="s">
        <v>145</v>
      </c>
      <c r="B9" s="25"/>
      <c r="C9" s="10" t="s">
        <v>146</v>
      </c>
      <c r="D9" s="26" t="s">
        <v>147</v>
      </c>
      <c r="E9" s="11" t="s">
        <v>148</v>
      </c>
    </row>
    <row r="10" customFormat="false" ht="27.75" hidden="false" customHeight="true" outlineLevel="0" collapsed="false">
      <c r="A10" s="8" t="s">
        <v>149</v>
      </c>
      <c r="B10" s="25"/>
      <c r="C10" s="10" t="str">
        <f aca="false">IF(AND(B9&lt;&gt;"",B6&lt;&gt;"",B6&gt;0),B9/B6,"")</f>
        <v/>
      </c>
      <c r="D10" s="26" t="s">
        <v>150</v>
      </c>
      <c r="E10" s="11" t="s">
        <v>151</v>
      </c>
    </row>
    <row r="11" customFormat="false" ht="27.75" hidden="false" customHeight="true" outlineLevel="0" collapsed="false">
      <c r="A11" s="8" t="s">
        <v>152</v>
      </c>
      <c r="B11" s="25"/>
      <c r="C11" s="10" t="s">
        <v>27</v>
      </c>
      <c r="D11" s="26" t="s">
        <v>153</v>
      </c>
      <c r="E11" s="11" t="s">
        <v>154</v>
      </c>
    </row>
    <row r="12" customFormat="false" ht="27.75" hidden="false" customHeight="true" outlineLevel="0" collapsed="false">
      <c r="A12" s="8" t="s">
        <v>155</v>
      </c>
      <c r="B12" s="25"/>
      <c r="C12" s="10"/>
      <c r="D12" s="26" t="s">
        <v>156</v>
      </c>
      <c r="E12" s="11" t="s">
        <v>157</v>
      </c>
    </row>
    <row r="13" customFormat="false" ht="27.75" hidden="false" customHeight="true" outlineLevel="0" collapsed="false">
      <c r="A13" s="8" t="s">
        <v>158</v>
      </c>
      <c r="B13" s="25"/>
      <c r="C13" s="10" t="s">
        <v>159</v>
      </c>
      <c r="D13" s="26" t="s">
        <v>156</v>
      </c>
      <c r="E13" s="11" t="s">
        <v>160</v>
      </c>
    </row>
    <row r="14" customFormat="false" ht="27.75" hidden="false" customHeight="true" outlineLevel="0" collapsed="false">
      <c r="A14" s="8" t="s">
        <v>161</v>
      </c>
      <c r="B14" s="25"/>
      <c r="C14" s="10" t="s">
        <v>162</v>
      </c>
      <c r="D14" s="26" t="s">
        <v>156</v>
      </c>
      <c r="E14" s="11" t="s">
        <v>163</v>
      </c>
    </row>
    <row r="15" customFormat="false" ht="27.75" hidden="false" customHeight="true" outlineLevel="0" collapsed="false">
      <c r="A15" s="8" t="s">
        <v>164</v>
      </c>
      <c r="B15" s="25"/>
      <c r="C15" s="10" t="s">
        <v>55</v>
      </c>
      <c r="D15" s="26" t="s">
        <v>165</v>
      </c>
      <c r="E15" s="11" t="s">
        <v>166</v>
      </c>
    </row>
    <row r="16" customFormat="false" ht="21.75" hidden="false" customHeight="true" outlineLevel="0" collapsed="false">
      <c r="A16" s="6" t="s">
        <v>167</v>
      </c>
      <c r="B16" s="6"/>
      <c r="C16" s="6"/>
      <c r="D16" s="6"/>
      <c r="E16" s="6"/>
    </row>
    <row r="17" customFormat="false" ht="27.75" hidden="false" customHeight="true" outlineLevel="0" collapsed="false">
      <c r="A17" s="8" t="s">
        <v>168</v>
      </c>
      <c r="B17" s="25"/>
      <c r="C17" s="10" t="s">
        <v>169</v>
      </c>
      <c r="D17" s="26" t="s">
        <v>170</v>
      </c>
      <c r="E17" s="11" t="s">
        <v>171</v>
      </c>
    </row>
    <row r="18" customFormat="false" ht="27.75" hidden="false" customHeight="true" outlineLevel="0" collapsed="false">
      <c r="A18" s="8" t="s">
        <v>172</v>
      </c>
      <c r="B18" s="25"/>
      <c r="C18" s="10" t="s">
        <v>86</v>
      </c>
      <c r="D18" s="26" t="s">
        <v>173</v>
      </c>
      <c r="E18" s="11" t="s">
        <v>174</v>
      </c>
    </row>
    <row r="19" customFormat="false" ht="27.75" hidden="false" customHeight="true" outlineLevel="0" collapsed="false">
      <c r="A19" s="8" t="s">
        <v>175</v>
      </c>
      <c r="B19" s="25"/>
      <c r="C19" s="10"/>
      <c r="D19" s="26" t="s">
        <v>176</v>
      </c>
      <c r="E19" s="11" t="s">
        <v>177</v>
      </c>
    </row>
    <row r="20" customFormat="false" ht="27.75" hidden="false" customHeight="true" outlineLevel="0" collapsed="false">
      <c r="A20" s="8" t="s">
        <v>178</v>
      </c>
      <c r="B20" s="25"/>
      <c r="C20" s="10" t="s">
        <v>179</v>
      </c>
      <c r="D20" s="26" t="s">
        <v>180</v>
      </c>
      <c r="E20" s="11" t="s">
        <v>181</v>
      </c>
    </row>
    <row r="21" customFormat="false" ht="27.75" hidden="false" customHeight="true" outlineLevel="0" collapsed="false">
      <c r="A21" s="8" t="s">
        <v>15</v>
      </c>
      <c r="B21" s="25"/>
      <c r="C21" s="10" t="s">
        <v>16</v>
      </c>
      <c r="D21" s="26" t="s">
        <v>182</v>
      </c>
      <c r="E21" s="11"/>
    </row>
    <row r="22" customFormat="false" ht="27.75" hidden="false" customHeight="true" outlineLevel="0" collapsed="false">
      <c r="A22" s="8" t="s">
        <v>183</v>
      </c>
      <c r="B22" s="25"/>
      <c r="C22" s="10" t="s">
        <v>184</v>
      </c>
      <c r="D22" s="26" t="s">
        <v>185</v>
      </c>
      <c r="E22" s="11"/>
    </row>
    <row r="23" customFormat="false" ht="21.75" hidden="false" customHeight="true" outlineLevel="0" collapsed="false">
      <c r="A23" s="27" t="s">
        <v>186</v>
      </c>
      <c r="B23" s="27"/>
      <c r="C23" s="27"/>
      <c r="D23" s="27"/>
      <c r="E23" s="27"/>
    </row>
    <row r="24" customFormat="false" ht="36" hidden="false" customHeight="true" outlineLevel="0" collapsed="false">
      <c r="A24" s="28" t="s">
        <v>187</v>
      </c>
      <c r="B24" s="28"/>
      <c r="C24" s="28"/>
      <c r="D24" s="28"/>
      <c r="E24" s="28"/>
    </row>
    <row r="25" customFormat="false" ht="27.75" hidden="false" customHeight="true" outlineLevel="0" collapsed="false">
      <c r="A25" s="8" t="s">
        <v>188</v>
      </c>
      <c r="B25" s="29" t="str">
        <f aca="false">IF(AND(B17&lt;&gt;"",B18&lt;&gt;""),B17*B18,"")</f>
        <v/>
      </c>
      <c r="C25" s="10" t="s">
        <v>179</v>
      </c>
      <c r="D25" s="26" t="s">
        <v>141</v>
      </c>
      <c r="E25" s="11" t="s">
        <v>189</v>
      </c>
    </row>
    <row r="26" customFormat="false" ht="27.75" hidden="false" customHeight="true" outlineLevel="0" collapsed="false">
      <c r="A26" s="8" t="s">
        <v>190</v>
      </c>
      <c r="B26" s="29" t="str">
        <f aca="false">IF(AND(B25&lt;&gt;"",B19&lt;&gt;""),B25*B19,"")</f>
        <v/>
      </c>
      <c r="C26" s="10" t="s">
        <v>179</v>
      </c>
      <c r="D26" s="26" t="s">
        <v>141</v>
      </c>
      <c r="E26" s="11" t="s">
        <v>191</v>
      </c>
    </row>
    <row r="27" customFormat="false" ht="27.75" hidden="false" customHeight="true" outlineLevel="0" collapsed="false">
      <c r="A27" s="8" t="s">
        <v>192</v>
      </c>
      <c r="B27" s="29" t="str">
        <f aca="false">IF(AND(B26&lt;&gt;"",B20&lt;&gt;"",B20&gt;0),ABS((B26-B20)/B20)*100,"")</f>
        <v/>
      </c>
      <c r="C27" s="10" t="s">
        <v>65</v>
      </c>
      <c r="D27" s="26" t="s">
        <v>193</v>
      </c>
      <c r="E27" s="11" t="s">
        <v>194</v>
      </c>
    </row>
    <row r="28" customFormat="false" ht="27.75" hidden="false" customHeight="true" outlineLevel="0" collapsed="false">
      <c r="A28" s="8" t="s">
        <v>195</v>
      </c>
      <c r="B28" s="29" t="str">
        <f aca="false">IF(B27="","Brak danych do walidacji",IF(B27&lt;=10,"✅ ZATWIERDZONY (Δ≤10%)",IF(B27&lt;=20,"⚠️ WARUNKOWO (10-20%) — sprawdź T_pracy","❌ ODRZUCONY — weryfikuj dane wejściowe")))</f>
        <v>Brak danych do walidacji</v>
      </c>
      <c r="C28" s="10"/>
      <c r="D28" s="26" t="s">
        <v>141</v>
      </c>
      <c r="E28" s="11" t="s">
        <v>196</v>
      </c>
    </row>
    <row r="29" customFormat="false" ht="27.75" hidden="false" customHeight="true" outlineLevel="0" collapsed="false">
      <c r="A29" s="8" t="s">
        <v>197</v>
      </c>
      <c r="B29" s="29" t="str">
        <f aca="false">IF(AND(B20&lt;&gt;"",B21&lt;&gt;"",B21&gt;0),B20/B21,"")</f>
        <v/>
      </c>
      <c r="C29" s="10" t="s">
        <v>198</v>
      </c>
      <c r="D29" s="26" t="s">
        <v>141</v>
      </c>
      <c r="E29" s="11" t="s">
        <v>199</v>
      </c>
    </row>
    <row r="30" customFormat="false" ht="27.75" hidden="false" customHeight="true" outlineLevel="0" collapsed="false">
      <c r="A30" s="8" t="s">
        <v>200</v>
      </c>
      <c r="B30" s="29" t="str">
        <f aca="false">IF(AND(B17&lt;&gt;"",B21&lt;&gt;"",B21&gt;0),B17*1000/B21,"")</f>
        <v/>
      </c>
      <c r="C30" s="10" t="s">
        <v>201</v>
      </c>
      <c r="D30" s="26" t="s">
        <v>202</v>
      </c>
      <c r="E30" s="11" t="s">
        <v>203</v>
      </c>
    </row>
    <row r="31" customFormat="false" ht="27.75" hidden="false" customHeight="true" outlineLevel="0" collapsed="false">
      <c r="A31" s="8" t="s">
        <v>204</v>
      </c>
      <c r="B31" s="29" t="str">
        <f aca="false">IF(AND(B20&lt;&gt;"",B22&lt;&gt;""),B20*B22,"")</f>
        <v/>
      </c>
      <c r="C31" s="10" t="s">
        <v>205</v>
      </c>
      <c r="D31" s="26" t="s">
        <v>141</v>
      </c>
      <c r="E31" s="11"/>
    </row>
    <row r="32" customFormat="false" ht="27.75" hidden="false" customHeight="true" outlineLevel="0" collapsed="false">
      <c r="A32" s="8" t="s">
        <v>206</v>
      </c>
      <c r="B32" s="25"/>
      <c r="C32" s="10" t="s">
        <v>179</v>
      </c>
      <c r="D32" s="26" t="s">
        <v>207</v>
      </c>
      <c r="E32" s="11" t="s">
        <v>208</v>
      </c>
    </row>
    <row r="33" customFormat="false" ht="27.75" hidden="false" customHeight="true" outlineLevel="0" collapsed="false">
      <c r="A33" s="8" t="s">
        <v>209</v>
      </c>
      <c r="B33" s="29" t="str">
        <f aca="false">IF(AND(B32&lt;&gt;"",B22&lt;&gt;""),B32*B22,"")</f>
        <v/>
      </c>
      <c r="C33" s="10" t="s">
        <v>205</v>
      </c>
      <c r="D33" s="26" t="s">
        <v>141</v>
      </c>
      <c r="E33" s="11"/>
    </row>
    <row r="34" customFormat="false" ht="27.75" hidden="false" customHeight="true" outlineLevel="0" collapsed="false">
      <c r="A34" s="8" t="s">
        <v>210</v>
      </c>
      <c r="B34" s="25"/>
      <c r="C34" s="10" t="s">
        <v>211</v>
      </c>
      <c r="D34" s="26" t="s">
        <v>212</v>
      </c>
      <c r="E34" s="11" t="s">
        <v>213</v>
      </c>
    </row>
    <row r="35" customFormat="false" ht="21.75" hidden="false" customHeight="true" outlineLevel="0" collapsed="false">
      <c r="A35" s="22" t="s">
        <v>214</v>
      </c>
      <c r="B35" s="22"/>
      <c r="C35" s="22"/>
      <c r="D35" s="22"/>
      <c r="E35" s="22"/>
    </row>
    <row r="36" customFormat="false" ht="63.75" hidden="false" customHeight="true" outlineLevel="0" collapsed="false">
      <c r="A36" s="20" t="s">
        <v>106</v>
      </c>
      <c r="B36" s="20"/>
      <c r="C36" s="20"/>
      <c r="D36" s="20"/>
      <c r="E36" s="20"/>
    </row>
    <row r="37" customFormat="false" ht="27.75" hidden="false" customHeight="true" outlineLevel="0" collapsed="false">
      <c r="A37" s="8" t="s">
        <v>215</v>
      </c>
      <c r="B37" s="25"/>
      <c r="C37" s="10"/>
      <c r="D37" s="26" t="s">
        <v>216</v>
      </c>
      <c r="E37" s="11" t="s">
        <v>217</v>
      </c>
    </row>
    <row r="38" customFormat="false" ht="27.75" hidden="false" customHeight="true" outlineLevel="0" collapsed="false">
      <c r="A38" s="8" t="s">
        <v>218</v>
      </c>
      <c r="B38" s="25"/>
      <c r="C38" s="10"/>
      <c r="D38" s="26" t="s">
        <v>219</v>
      </c>
      <c r="E38" s="11" t="s">
        <v>217</v>
      </c>
    </row>
    <row r="39" customFormat="false" ht="27.75" hidden="false" customHeight="true" outlineLevel="0" collapsed="false">
      <c r="A39" s="8" t="s">
        <v>220</v>
      </c>
      <c r="B39" s="25"/>
      <c r="C39" s="10"/>
      <c r="D39" s="26" t="s">
        <v>221</v>
      </c>
      <c r="E39" s="11" t="s">
        <v>222</v>
      </c>
    </row>
    <row r="40" customFormat="false" ht="27.75" hidden="false" customHeight="true" outlineLevel="0" collapsed="false">
      <c r="A40" s="8" t="s">
        <v>223</v>
      </c>
      <c r="B40" s="25"/>
      <c r="C40" s="10"/>
      <c r="D40" s="26" t="s">
        <v>224</v>
      </c>
      <c r="E40" s="11" t="s">
        <v>225</v>
      </c>
    </row>
    <row r="41" customFormat="false" ht="27.75" hidden="false" customHeight="true" outlineLevel="0" collapsed="false">
      <c r="A41" s="8" t="s">
        <v>226</v>
      </c>
      <c r="B41" s="25"/>
      <c r="C41" s="10"/>
      <c r="D41" s="26" t="s">
        <v>227</v>
      </c>
      <c r="E41" s="11" t="s">
        <v>228</v>
      </c>
    </row>
    <row r="42" customFormat="false" ht="27.75" hidden="false" customHeight="true" outlineLevel="0" collapsed="false">
      <c r="A42" s="8" t="s">
        <v>229</v>
      </c>
      <c r="B42" s="29" t="str">
        <f aca="false">IF(B37&lt;&gt;"","❌ NIEZGODNOŚĆ — świetlówki T8/T5 zakazane od IX.2023: "
&amp;B37&amp;" szt.",IF(B38&lt;&gt;"","❌ NIEZGODNOŚĆ — halogeny wycofane: "&amp;B38&amp;" szt.","✅ ZGODNY — brak zakazanych technologii w strefie"))</f>
        <v>✅ ZGODNY — brak zakazanych technologii w strefie</v>
      </c>
      <c r="C42" s="10"/>
      <c r="D42" s="26" t="s">
        <v>230</v>
      </c>
      <c r="E42" s="11"/>
    </row>
    <row r="43" customFormat="false" ht="27.75" hidden="false" customHeight="true" outlineLevel="0" collapsed="false">
      <c r="A43" s="8" t="s">
        <v>231</v>
      </c>
      <c r="B43" s="25"/>
      <c r="C43" s="10"/>
      <c r="D43" s="26" t="s">
        <v>232</v>
      </c>
      <c r="E43" s="11" t="s">
        <v>233</v>
      </c>
    </row>
    <row r="44" customFormat="false" ht="13.5" hidden="false" customHeight="true" outlineLevel="0" collapsed="false">
      <c r="A44" s="23" t="s">
        <v>234</v>
      </c>
      <c r="B44" s="23"/>
      <c r="C44" s="23"/>
      <c r="D44" s="23"/>
      <c r="E44" s="23"/>
    </row>
  </sheetData>
  <mergeCells count="9">
    <mergeCell ref="A1:E1"/>
    <mergeCell ref="A2:E2"/>
    <mergeCell ref="A4:E4"/>
    <mergeCell ref="A16:E16"/>
    <mergeCell ref="A23:E23"/>
    <mergeCell ref="A24:E24"/>
    <mergeCell ref="A35:E35"/>
    <mergeCell ref="A36:E36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5C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42" hidden="false" customHeight="true" outlineLevel="0" collapsed="false">
      <c r="A1" s="1" t="s">
        <v>235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236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237</v>
      </c>
      <c r="B3" s="4"/>
      <c r="C3" s="3" t="s">
        <v>238</v>
      </c>
      <c r="D3" s="4"/>
      <c r="E3" s="3" t="s">
        <v>239</v>
      </c>
    </row>
    <row r="4" customFormat="false" ht="21.75" hidden="false" customHeight="true" outlineLevel="0" collapsed="false">
      <c r="A4" s="6" t="s">
        <v>240</v>
      </c>
      <c r="B4" s="6"/>
      <c r="C4" s="6"/>
      <c r="D4" s="6"/>
      <c r="E4" s="6"/>
    </row>
    <row r="5" customFormat="false" ht="24" hidden="false" customHeight="true" outlineLevel="0" collapsed="false">
      <c r="A5" s="30" t="s">
        <v>241</v>
      </c>
      <c r="B5" s="31" t="s">
        <v>242</v>
      </c>
      <c r="C5" s="32"/>
      <c r="D5" s="33"/>
      <c r="E5" s="34"/>
    </row>
    <row r="6" customFormat="false" ht="24" hidden="false" customHeight="true" outlineLevel="0" collapsed="false">
      <c r="A6" s="30" t="s">
        <v>243</v>
      </c>
      <c r="B6" s="31" t="s">
        <v>244</v>
      </c>
      <c r="C6" s="32"/>
      <c r="D6" s="33"/>
      <c r="E6" s="34"/>
    </row>
    <row r="7" customFormat="false" ht="24" hidden="false" customHeight="true" outlineLevel="0" collapsed="false">
      <c r="A7" s="30" t="s">
        <v>245</v>
      </c>
      <c r="B7" s="31" t="s">
        <v>246</v>
      </c>
      <c r="C7" s="32"/>
      <c r="D7" s="33"/>
      <c r="E7" s="34"/>
    </row>
    <row r="8" customFormat="false" ht="24" hidden="false" customHeight="true" outlineLevel="0" collapsed="false">
      <c r="A8" s="30" t="s">
        <v>133</v>
      </c>
      <c r="B8" s="31" t="s">
        <v>247</v>
      </c>
      <c r="C8" s="32"/>
      <c r="D8" s="33"/>
      <c r="E8" s="34"/>
    </row>
    <row r="9" customFormat="false" ht="24" hidden="false" customHeight="true" outlineLevel="0" collapsed="false">
      <c r="A9" s="30" t="s">
        <v>248</v>
      </c>
      <c r="B9" s="31" t="s">
        <v>247</v>
      </c>
      <c r="C9" s="32"/>
      <c r="D9" s="33"/>
      <c r="E9" s="34"/>
    </row>
    <row r="10" customFormat="false" ht="24" hidden="false" customHeight="true" outlineLevel="0" collapsed="false">
      <c r="A10" s="30" t="s">
        <v>249</v>
      </c>
      <c r="B10" s="31" t="s">
        <v>247</v>
      </c>
      <c r="C10" s="32"/>
      <c r="D10" s="33"/>
      <c r="E10" s="34"/>
    </row>
    <row r="11" customFormat="false" ht="24" hidden="false" customHeight="true" outlineLevel="0" collapsed="false">
      <c r="A11" s="30" t="s">
        <v>250</v>
      </c>
      <c r="B11" s="31" t="s">
        <v>247</v>
      </c>
      <c r="C11" s="32"/>
      <c r="D11" s="33"/>
      <c r="E11" s="34"/>
    </row>
    <row r="12" customFormat="false" ht="24" hidden="false" customHeight="true" outlineLevel="0" collapsed="false">
      <c r="A12" s="30" t="s">
        <v>251</v>
      </c>
      <c r="B12" s="31" t="s">
        <v>252</v>
      </c>
      <c r="C12" s="32"/>
      <c r="D12" s="33"/>
      <c r="E12" s="34"/>
    </row>
    <row r="13" customFormat="false" ht="24" hidden="false" customHeight="true" outlineLevel="0" collapsed="false">
      <c r="A13" s="30" t="s">
        <v>253</v>
      </c>
      <c r="B13" s="31" t="s">
        <v>254</v>
      </c>
      <c r="C13" s="32"/>
      <c r="D13" s="33"/>
      <c r="E13" s="34"/>
    </row>
    <row r="14" customFormat="false" ht="21.75" hidden="false" customHeight="true" outlineLevel="0" collapsed="false">
      <c r="A14" s="24" t="s">
        <v>255</v>
      </c>
      <c r="B14" s="24"/>
      <c r="C14" s="24"/>
      <c r="D14" s="24"/>
      <c r="E14" s="24"/>
    </row>
    <row r="15" customFormat="false" ht="18" hidden="false" customHeight="true" outlineLevel="0" collapsed="false">
      <c r="A15" s="35" t="s">
        <v>256</v>
      </c>
    </row>
    <row r="16" customFormat="false" ht="15" hidden="false" customHeight="false" outlineLevel="0" collapsed="false">
      <c r="B16" s="35" t="s">
        <v>129</v>
      </c>
    </row>
    <row r="17" customFormat="false" ht="15" hidden="false" customHeight="false" outlineLevel="0" collapsed="false">
      <c r="C17" s="35" t="s">
        <v>257</v>
      </c>
    </row>
    <row r="18" customFormat="false" ht="15" hidden="false" customHeight="false" outlineLevel="0" collapsed="false">
      <c r="D18" s="35" t="s">
        <v>258</v>
      </c>
    </row>
    <row r="19" customFormat="false" ht="15" hidden="false" customHeight="false" outlineLevel="0" collapsed="false">
      <c r="E19" s="35" t="s">
        <v>259</v>
      </c>
    </row>
    <row r="20" customFormat="false" ht="25.5" hidden="false" customHeight="true" outlineLevel="0" collapsed="false">
      <c r="A20" s="36" t="s">
        <v>260</v>
      </c>
      <c r="B20" s="33" t="s">
        <v>261</v>
      </c>
      <c r="C20" s="32" t="s">
        <v>198</v>
      </c>
      <c r="D20" s="34" t="s">
        <v>262</v>
      </c>
      <c r="E20" s="37" t="s">
        <v>263</v>
      </c>
    </row>
    <row r="21" customFormat="false" ht="25.5" hidden="false" customHeight="true" outlineLevel="0" collapsed="false">
      <c r="A21" s="36" t="s">
        <v>264</v>
      </c>
      <c r="B21" s="33" t="s">
        <v>261</v>
      </c>
      <c r="C21" s="32" t="s">
        <v>201</v>
      </c>
      <c r="D21" s="34" t="s">
        <v>265</v>
      </c>
      <c r="E21" s="37" t="s">
        <v>263</v>
      </c>
    </row>
    <row r="22" customFormat="false" ht="25.5" hidden="false" customHeight="true" outlineLevel="0" collapsed="false">
      <c r="A22" s="36" t="s">
        <v>250</v>
      </c>
      <c r="B22" s="33" t="s">
        <v>247</v>
      </c>
      <c r="C22" s="32" t="s">
        <v>266</v>
      </c>
      <c r="D22" s="34" t="s">
        <v>267</v>
      </c>
      <c r="E22" s="37" t="s">
        <v>263</v>
      </c>
    </row>
    <row r="23" customFormat="false" ht="25.5" hidden="false" customHeight="true" outlineLevel="0" collapsed="false">
      <c r="A23" s="36" t="s">
        <v>268</v>
      </c>
      <c r="B23" s="33" t="s">
        <v>261</v>
      </c>
      <c r="C23" s="32" t="s">
        <v>65</v>
      </c>
      <c r="D23" s="34" t="s">
        <v>269</v>
      </c>
      <c r="E23" s="37" t="s">
        <v>263</v>
      </c>
    </row>
    <row r="24" customFormat="false" ht="25.5" hidden="false" customHeight="true" outlineLevel="0" collapsed="false">
      <c r="A24" s="36" t="s">
        <v>270</v>
      </c>
      <c r="B24" s="33" t="s">
        <v>261</v>
      </c>
      <c r="C24" s="32" t="s">
        <v>179</v>
      </c>
      <c r="D24" s="34" t="s">
        <v>271</v>
      </c>
      <c r="E24" s="37" t="s">
        <v>263</v>
      </c>
    </row>
    <row r="25" customFormat="false" ht="25.5" hidden="false" customHeight="true" outlineLevel="0" collapsed="false">
      <c r="A25" s="36" t="s">
        <v>272</v>
      </c>
      <c r="B25" s="33" t="s">
        <v>261</v>
      </c>
      <c r="C25" s="32" t="s">
        <v>205</v>
      </c>
      <c r="D25" s="34"/>
      <c r="E25" s="37" t="s">
        <v>263</v>
      </c>
    </row>
    <row r="26" customFormat="false" ht="25.5" hidden="false" customHeight="true" outlineLevel="0" collapsed="false">
      <c r="A26" s="36" t="s">
        <v>273</v>
      </c>
      <c r="B26" s="33" t="s">
        <v>261</v>
      </c>
      <c r="C26" s="32" t="s">
        <v>211</v>
      </c>
      <c r="D26" s="34" t="s">
        <v>274</v>
      </c>
      <c r="E26" s="37" t="s">
        <v>263</v>
      </c>
    </row>
    <row r="27" customFormat="false" ht="21.75" hidden="false" customHeight="true" outlineLevel="0" collapsed="false">
      <c r="A27" s="22" t="s">
        <v>275</v>
      </c>
      <c r="B27" s="22"/>
      <c r="C27" s="22"/>
      <c r="D27" s="22"/>
      <c r="E27" s="22"/>
    </row>
    <row r="28" customFormat="false" ht="18" hidden="false" customHeight="true" outlineLevel="0" collapsed="false">
      <c r="A28" s="38" t="s">
        <v>276</v>
      </c>
    </row>
    <row r="29" customFormat="false" ht="15" hidden="false" customHeight="false" outlineLevel="0" collapsed="false">
      <c r="B29" s="38" t="s">
        <v>277</v>
      </c>
    </row>
    <row r="30" customFormat="false" ht="15" hidden="false" customHeight="false" outlineLevel="0" collapsed="false">
      <c r="C30" s="38" t="s">
        <v>278</v>
      </c>
    </row>
    <row r="31" customFormat="false" ht="15" hidden="false" customHeight="false" outlineLevel="0" collapsed="false">
      <c r="D31" s="38" t="s">
        <v>279</v>
      </c>
    </row>
    <row r="32" customFormat="false" ht="15" hidden="false" customHeight="false" outlineLevel="0" collapsed="false">
      <c r="E32" s="38"/>
    </row>
    <row r="33" customFormat="false" ht="24" hidden="false" customHeight="true" outlineLevel="0" collapsed="false">
      <c r="A33" s="30" t="s">
        <v>280</v>
      </c>
      <c r="B33" s="39" t="s">
        <v>281</v>
      </c>
      <c r="C33" s="40" t="s">
        <v>282</v>
      </c>
      <c r="D33" s="34" t="s">
        <v>283</v>
      </c>
      <c r="E33" s="41"/>
    </row>
    <row r="34" customFormat="false" ht="24" hidden="false" customHeight="true" outlineLevel="0" collapsed="false">
      <c r="A34" s="30" t="s">
        <v>284</v>
      </c>
      <c r="B34" s="39" t="s">
        <v>281</v>
      </c>
      <c r="C34" s="40" t="s">
        <v>282</v>
      </c>
      <c r="D34" s="34" t="s">
        <v>285</v>
      </c>
      <c r="E34" s="41"/>
    </row>
    <row r="35" customFormat="false" ht="24" hidden="false" customHeight="true" outlineLevel="0" collapsed="false">
      <c r="A35" s="30" t="s">
        <v>286</v>
      </c>
      <c r="B35" s="39" t="s">
        <v>287</v>
      </c>
      <c r="C35" s="40" t="s">
        <v>288</v>
      </c>
      <c r="D35" s="34" t="s">
        <v>289</v>
      </c>
      <c r="E35" s="41"/>
    </row>
    <row r="36" customFormat="false" ht="24" hidden="false" customHeight="true" outlineLevel="0" collapsed="false">
      <c r="A36" s="30" t="s">
        <v>290</v>
      </c>
      <c r="B36" s="39" t="s">
        <v>281</v>
      </c>
      <c r="C36" s="41"/>
      <c r="D36" s="34" t="s">
        <v>291</v>
      </c>
      <c r="E36" s="41"/>
    </row>
    <row r="37" customFormat="false" ht="24" hidden="false" customHeight="true" outlineLevel="0" collapsed="false">
      <c r="A37" s="30" t="s">
        <v>292</v>
      </c>
      <c r="B37" s="39" t="s">
        <v>293</v>
      </c>
      <c r="C37" s="40" t="s">
        <v>294</v>
      </c>
      <c r="D37" s="34" t="s">
        <v>295</v>
      </c>
      <c r="E37" s="41"/>
    </row>
    <row r="38" customFormat="false" ht="24" hidden="false" customHeight="true" outlineLevel="0" collapsed="false">
      <c r="A38" s="30" t="s">
        <v>226</v>
      </c>
      <c r="B38" s="39" t="s">
        <v>296</v>
      </c>
      <c r="C38" s="40" t="s">
        <v>294</v>
      </c>
      <c r="D38" s="34" t="s">
        <v>297</v>
      </c>
      <c r="E38" s="41"/>
    </row>
    <row r="39" customFormat="false" ht="21.75" hidden="false" customHeight="true" outlineLevel="0" collapsed="false">
      <c r="A39" s="6" t="s">
        <v>298</v>
      </c>
      <c r="B39" s="6"/>
      <c r="C39" s="6"/>
      <c r="D39" s="6"/>
      <c r="E39" s="6"/>
    </row>
    <row r="40" customFormat="false" ht="18" hidden="false" customHeight="true" outlineLevel="0" collapsed="false">
      <c r="A40" s="3" t="s">
        <v>299</v>
      </c>
      <c r="B40" s="42" t="s">
        <v>300</v>
      </c>
      <c r="C40" s="43" t="s">
        <v>301</v>
      </c>
      <c r="D40" s="42" t="s">
        <v>302</v>
      </c>
      <c r="E40" s="44"/>
    </row>
    <row r="41" customFormat="false" ht="18" hidden="false" customHeight="true" outlineLevel="0" collapsed="false">
      <c r="A41" s="45" t="s">
        <v>303</v>
      </c>
      <c r="B41" s="42" t="s">
        <v>300</v>
      </c>
      <c r="C41" s="43" t="s">
        <v>301</v>
      </c>
      <c r="D41" s="42" t="s">
        <v>302</v>
      </c>
      <c r="E41" s="44"/>
    </row>
    <row r="42" customFormat="false" ht="18" hidden="false" customHeight="true" outlineLevel="0" collapsed="false">
      <c r="A42" s="45" t="s">
        <v>304</v>
      </c>
      <c r="B42" s="42" t="s">
        <v>300</v>
      </c>
      <c r="C42" s="43" t="s">
        <v>301</v>
      </c>
      <c r="D42" s="42" t="s">
        <v>302</v>
      </c>
      <c r="E42" s="44"/>
    </row>
    <row r="43" customFormat="false" ht="13.5" hidden="false" customHeight="true" outlineLevel="0" collapsed="false">
      <c r="A43" s="23" t="s">
        <v>305</v>
      </c>
      <c r="B43" s="23"/>
      <c r="C43" s="23"/>
      <c r="D43" s="23"/>
      <c r="E43" s="23"/>
    </row>
  </sheetData>
  <mergeCells count="7">
    <mergeCell ref="A1:E1"/>
    <mergeCell ref="A2:E2"/>
    <mergeCell ref="A4:E4"/>
    <mergeCell ref="A14:E14"/>
    <mergeCell ref="A27:E27"/>
    <mergeCell ref="A39:E39"/>
    <mergeCell ref="A43:E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A6E"/>
    <pageSetUpPr fitToPage="false"/>
  </sheetPr>
  <dimension ref="A1:E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42" hidden="false" customHeight="true" outlineLevel="0" collapsed="false">
      <c r="A1" s="1" t="s">
        <v>306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307</v>
      </c>
      <c r="B2" s="2"/>
      <c r="C2" s="2"/>
      <c r="D2" s="2"/>
      <c r="E2" s="2"/>
    </row>
    <row r="3" customFormat="false" ht="18" hidden="false" customHeight="true" outlineLevel="0" collapsed="false">
      <c r="A3" s="46" t="s">
        <v>308</v>
      </c>
    </row>
    <row r="4" customFormat="false" ht="13.5" hidden="false" customHeight="true" outlineLevel="0" collapsed="false">
      <c r="A4" s="47" t="s">
        <v>309</v>
      </c>
    </row>
    <row r="5" customFormat="false" ht="15" hidden="false" customHeight="true" outlineLevel="0" collapsed="false">
      <c r="A5" s="48" t="s">
        <v>310</v>
      </c>
    </row>
    <row r="6" customFormat="false" ht="15" hidden="false" customHeight="true" outlineLevel="0" collapsed="false">
      <c r="A6" s="48" t="s">
        <v>311</v>
      </c>
    </row>
    <row r="7" customFormat="false" ht="15" hidden="false" customHeight="true" outlineLevel="0" collapsed="false">
      <c r="A7" s="48" t="s">
        <v>312</v>
      </c>
    </row>
    <row r="8" customFormat="false" ht="15" hidden="false" customHeight="true" outlineLevel="0" collapsed="false">
      <c r="A8" s="49"/>
    </row>
    <row r="9" customFormat="false" ht="15" hidden="false" customHeight="true" outlineLevel="0" collapsed="false">
      <c r="A9" s="50" t="s">
        <v>313</v>
      </c>
    </row>
    <row r="10" customFormat="false" ht="15" hidden="false" customHeight="true" outlineLevel="0" collapsed="false">
      <c r="A10" s="48" t="s">
        <v>314</v>
      </c>
    </row>
    <row r="11" customFormat="false" ht="15" hidden="false" customHeight="true" outlineLevel="0" collapsed="false">
      <c r="A11" s="48" t="s">
        <v>315</v>
      </c>
    </row>
    <row r="12" customFormat="false" ht="15" hidden="false" customHeight="true" outlineLevel="0" collapsed="false">
      <c r="A12" s="49"/>
    </row>
    <row r="13" customFormat="false" ht="15" hidden="false" customHeight="true" outlineLevel="0" collapsed="false">
      <c r="A13" s="50" t="s">
        <v>316</v>
      </c>
    </row>
    <row r="14" customFormat="false" ht="15" hidden="false" customHeight="true" outlineLevel="0" collapsed="false">
      <c r="A14" s="48" t="s">
        <v>317</v>
      </c>
    </row>
    <row r="15" customFormat="false" ht="15" hidden="false" customHeight="true" outlineLevel="0" collapsed="false">
      <c r="A15" s="48" t="s">
        <v>318</v>
      </c>
    </row>
    <row r="16" customFormat="false" ht="15" hidden="false" customHeight="true" outlineLevel="0" collapsed="false">
      <c r="A16" s="48" t="s">
        <v>319</v>
      </c>
    </row>
    <row r="17" customFormat="false" ht="15" hidden="false" customHeight="true" outlineLevel="0" collapsed="false">
      <c r="A17" s="49"/>
    </row>
    <row r="18" customFormat="false" ht="15" hidden="false" customHeight="true" outlineLevel="0" collapsed="false">
      <c r="A18" s="50" t="s">
        <v>320</v>
      </c>
    </row>
    <row r="19" customFormat="false" ht="15" hidden="false" customHeight="true" outlineLevel="0" collapsed="false">
      <c r="A19" s="48" t="s">
        <v>321</v>
      </c>
    </row>
    <row r="20" customFormat="false" ht="15" hidden="false" customHeight="true" outlineLevel="0" collapsed="false">
      <c r="A20" s="48" t="s">
        <v>322</v>
      </c>
    </row>
    <row r="21" customFormat="false" ht="15" hidden="false" customHeight="true" outlineLevel="0" collapsed="false">
      <c r="A21" s="48" t="s">
        <v>323</v>
      </c>
    </row>
    <row r="22" customFormat="false" ht="15" hidden="false" customHeight="true" outlineLevel="0" collapsed="false">
      <c r="A22" s="48" t="s">
        <v>324</v>
      </c>
    </row>
    <row r="23" customFormat="false" ht="15" hidden="false" customHeight="true" outlineLevel="0" collapsed="false">
      <c r="A23" s="49"/>
    </row>
    <row r="24" customFormat="false" ht="15" hidden="false" customHeight="true" outlineLevel="0" collapsed="false">
      <c r="A24" s="50" t="s">
        <v>325</v>
      </c>
    </row>
    <row r="25" customFormat="false" ht="15" hidden="false" customHeight="true" outlineLevel="0" collapsed="false">
      <c r="A25" s="48" t="s">
        <v>326</v>
      </c>
    </row>
    <row r="26" customFormat="false" ht="15" hidden="false" customHeight="true" outlineLevel="0" collapsed="false">
      <c r="A26" s="48" t="s">
        <v>327</v>
      </c>
    </row>
    <row r="27" customFormat="false" ht="15" hidden="false" customHeight="true" outlineLevel="0" collapsed="false">
      <c r="A27" s="49"/>
    </row>
    <row r="28" customFormat="false" ht="15" hidden="false" customHeight="true" outlineLevel="0" collapsed="false">
      <c r="A28" s="50" t="s">
        <v>328</v>
      </c>
    </row>
    <row r="29" customFormat="false" ht="15" hidden="false" customHeight="true" outlineLevel="0" collapsed="false">
      <c r="A29" s="48" t="s">
        <v>329</v>
      </c>
    </row>
    <row r="30" customFormat="false" ht="15" hidden="false" customHeight="true" outlineLevel="0" collapsed="false">
      <c r="A30" s="48" t="s">
        <v>330</v>
      </c>
    </row>
    <row r="31" customFormat="false" ht="15" hidden="false" customHeight="true" outlineLevel="0" collapsed="false">
      <c r="A31" s="48" t="s">
        <v>331</v>
      </c>
    </row>
    <row r="32" customFormat="false" ht="15" hidden="false" customHeight="true" outlineLevel="0" collapsed="false">
      <c r="A32" s="48" t="s">
        <v>332</v>
      </c>
    </row>
    <row r="33" customFormat="false" ht="15" hidden="false" customHeight="true" outlineLevel="0" collapsed="false">
      <c r="A33" s="48" t="s">
        <v>333</v>
      </c>
    </row>
    <row r="34" customFormat="false" ht="15" hidden="false" customHeight="true" outlineLevel="0" collapsed="false">
      <c r="A34" s="48" t="s">
        <v>334</v>
      </c>
    </row>
    <row r="35" customFormat="false" ht="15" hidden="false" customHeight="true" outlineLevel="0" collapsed="false">
      <c r="A35" s="48" t="s">
        <v>335</v>
      </c>
    </row>
    <row r="36" customFormat="false" ht="15" hidden="false" customHeight="true" outlineLevel="0" collapsed="false">
      <c r="A36" s="49"/>
    </row>
    <row r="37" customFormat="false" ht="15" hidden="false" customHeight="true" outlineLevel="0" collapsed="false">
      <c r="A37" s="51" t="s">
        <v>336</v>
      </c>
    </row>
    <row r="38" customFormat="false" ht="15" hidden="false" customHeight="true" outlineLevel="0" collapsed="false">
      <c r="A38" s="49"/>
    </row>
    <row r="39" customFormat="false" ht="15" hidden="false" customHeight="true" outlineLevel="0" collapsed="false">
      <c r="A39" s="50" t="s">
        <v>337</v>
      </c>
    </row>
    <row r="40" customFormat="false" ht="15" hidden="false" customHeight="true" outlineLevel="0" collapsed="false">
      <c r="A40" s="48" t="s">
        <v>338</v>
      </c>
    </row>
    <row r="41" customFormat="false" ht="15" hidden="false" customHeight="true" outlineLevel="0" collapsed="false">
      <c r="A41" s="48" t="s">
        <v>339</v>
      </c>
    </row>
    <row r="42" customFormat="false" ht="15" hidden="false" customHeight="true" outlineLevel="0" collapsed="false">
      <c r="A42" s="48" t="s">
        <v>340</v>
      </c>
    </row>
    <row r="43" customFormat="false" ht="15" hidden="false" customHeight="true" outlineLevel="0" collapsed="false">
      <c r="A43" s="48" t="s">
        <v>341</v>
      </c>
    </row>
    <row r="44" customFormat="false" ht="15" hidden="false" customHeight="true" outlineLevel="0" collapsed="false">
      <c r="A44" s="48" t="s">
        <v>342</v>
      </c>
    </row>
    <row r="45" customFormat="false" ht="15" hidden="false" customHeight="true" outlineLevel="0" collapsed="false">
      <c r="A45" s="48" t="s">
        <v>343</v>
      </c>
    </row>
    <row r="46" customFormat="false" ht="15" hidden="false" customHeight="true" outlineLevel="0" collapsed="false">
      <c r="A46" s="48" t="s">
        <v>344</v>
      </c>
    </row>
    <row r="47" customFormat="false" ht="15" hidden="false" customHeight="true" outlineLevel="0" collapsed="false">
      <c r="A47" s="48" t="s">
        <v>345</v>
      </c>
    </row>
    <row r="48" customFormat="false" ht="15" hidden="false" customHeight="true" outlineLevel="0" collapsed="false">
      <c r="A48" s="48" t="s">
        <v>346</v>
      </c>
    </row>
    <row r="49" customFormat="false" ht="15" hidden="false" customHeight="true" outlineLevel="0" collapsed="false">
      <c r="A49" s="48" t="s">
        <v>347</v>
      </c>
    </row>
    <row r="50" customFormat="false" ht="15" hidden="false" customHeight="true" outlineLevel="0" collapsed="false">
      <c r="A50" s="48" t="s">
        <v>348</v>
      </c>
    </row>
    <row r="51" customFormat="false" ht="15" hidden="false" customHeight="true" outlineLevel="0" collapsed="false">
      <c r="A51" s="48" t="s">
        <v>349</v>
      </c>
    </row>
    <row r="52" customFormat="false" ht="15" hidden="false" customHeight="true" outlineLevel="0" collapsed="false">
      <c r="A52" s="48" t="s">
        <v>350</v>
      </c>
    </row>
    <row r="53" customFormat="false" ht="15" hidden="false" customHeight="true" outlineLevel="0" collapsed="false">
      <c r="A53" s="48" t="s">
        <v>351</v>
      </c>
    </row>
    <row r="54" customFormat="false" ht="15" hidden="false" customHeight="true" outlineLevel="0" collapsed="false">
      <c r="A54" s="48" t="s">
        <v>352</v>
      </c>
    </row>
    <row r="55" customFormat="false" ht="15" hidden="false" customHeight="false" outlineLevel="0" collapsed="false">
      <c r="A55" s="52" t="s">
        <v>353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2026-04-15T13:21:11Z</dcterms:created>
  <dc:creator>openpyxl</dc:creator>
  <dc:description/>
  <dc:language>en-US</dc:language>
  <cp:lastModifiedBy/>
  <dcterms:modified xsi:type="dcterms:W3CDTF">2026-04-15T13:21:11Z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