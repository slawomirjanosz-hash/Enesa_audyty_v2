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KIETA_ETAP1" sheetId="1" state="visible" r:id="rId3"/>
    <sheet name="DANE_DTR_ETAP2" sheetId="2" state="visible" r:id="rId4"/>
    <sheet name="PASZPORT" sheetId="3" state="visible" r:id="rId5"/>
    <sheet name="SYSTEM_PROMP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<sst xmlns="http://schemas.openxmlformats.org/spreadsheetml/2006/main" count="624" uniqueCount="527">
  <si>
    <t xml:space="preserve">ENESA  ·  PASZPORT URZĄDZENIA GRZEWCZEGO  ·  A-EnMS-HTG-01  ·  ANKIETA ETAP 1</t>
  </si>
  <si>
    <t xml:space="preserve">Wypełnia: Pracownik UR na hali  ·  Pola ŻÓŁTE = wpisz  ·  Ścieżki wg typu urządzenia</t>
  </si>
  <si>
    <t xml:space="preserve">KOD QR / ID:</t>
  </si>
  <si>
    <t xml:space="preserve">Data Etap 1:</t>
  </si>
  <si>
    <t xml:space="preserve">Pracownik UR:</t>
  </si>
  <si>
    <t xml:space="preserve">Nr</t>
  </si>
  <si>
    <t xml:space="preserve">Pytanie / Obserwacja</t>
  </si>
  <si>
    <t xml:space="preserve">Odpowiedź (wpisz)</t>
  </si>
  <si>
    <t xml:space="preserve">Jedn.</t>
  </si>
  <si>
    <t xml:space="preserve">Wskazówka</t>
  </si>
  <si>
    <t xml:space="preserve">  PYTANIE ZEROWE — KLASYFIKACJA ŚCIEŻKI (zanim zaczniesz!)</t>
  </si>
  <si>
    <t xml:space="preserve">P-00</t>
  </si>
  <si>
    <t xml:space="preserve">Przed Tobą stoi urządzenie grzewcze. Jaki to typ?
A) KOCIOŁ GAZOWY — palna gazowa, rury odprowadzające spaliny (komin / czopuch)
B) KOCIOŁ OLEJOWY — palnik z dyszą olejową, widoczny zbiornik oleju w pobliżu
C) KOCIOŁ NA BIOMASĘ / WĘGIEL — podajnik paliwa, zasobnik, ruszt
D) POMPA CIEPŁA — jednostka zewnętrzna + wewnętrzna, sprężarka, bez płomienia
E) WĘZEŁ CIEPLNY / WYMIENNIK — rury ciepłownicze, wymiennik płytowy, bez kotła
F) KOCIOŁ ELEKTRYCZNY — grzałki elektryczne, brak komina / spalin
G) Nie jestem pewien — opiszę co widzę</t>
  </si>
  <si>
    <t xml:space="preserve">A→ścieżka A · B→B · C→C · D→D · E→E · F→F · G→opisz</t>
  </si>
  <si>
    <t xml:space="preserve">  ŚCIEŻKA A/B/F — KOCIOŁ (gazowy / olejowy / elektryczny)</t>
  </si>
  <si>
    <t xml:space="preserve">    Blok A1 — Identyfikacja</t>
  </si>
  <si>
    <t xml:space="preserve">A-01</t>
  </si>
  <si>
    <t xml:space="preserve">Producent kotła (z tabliczki znamionowej na obudowie)</t>
  </si>
  <si>
    <t xml:space="preserve">np. Viessmann, Buderus, De Dietrich, Wolf, Vaillant, Thermax, Leclerc, Fakop</t>
  </si>
  <si>
    <t xml:space="preserve">A-02</t>
  </si>
  <si>
    <t xml:space="preserve">Model / typ kotła (z tabliczki)</t>
  </si>
  <si>
    <t xml:space="preserve">Pełne oznaczenie: np. Vitocrossal 300, Logano G234, Logamax plus GB172</t>
  </si>
  <si>
    <t xml:space="preserve">A-03</t>
  </si>
  <si>
    <t xml:space="preserve">Rok produkcji</t>
  </si>
  <si>
    <t xml:space="preserve">rok</t>
  </si>
  <si>
    <t xml:space="preserve">Z tabliczki lub z numeru seryjnego</t>
  </si>
  <si>
    <t xml:space="preserve">A-04</t>
  </si>
  <si>
    <t xml:space="preserve">Numer seryjny</t>
  </si>
  <si>
    <t xml:space="preserve">Z tabliczki znamionowej</t>
  </si>
  <si>
    <t xml:space="preserve">A-05</t>
  </si>
  <si>
    <t xml:space="preserve">Lokalizacja kotła (budynek, kondygnacja, pomieszczenie)</t>
  </si>
  <si>
    <t xml:space="preserve">np. Kotłownia gaz. bud. A / piwnica bud. B / pomieszczenie techniczne</t>
  </si>
  <si>
    <t xml:space="preserve">A-06</t>
  </si>
  <si>
    <t xml:space="preserve">Co ogrzewa ten kocioł? Opisz strefy.</t>
  </si>
  <si>
    <t xml:space="preserve">np. Hala produkcyjna + biura + CWU / Tylko ogrzewanie hali / Cały zakład</t>
  </si>
  <si>
    <t xml:space="preserve">A-07</t>
  </si>
  <si>
    <t xml:space="preserve">Czy jest dostępna dokumentacja techniczna (DTR)?</t>
  </si>
  <si>
    <t xml:space="preserve">TAK — w biurze / TAK — na miejscu / NIE / Nie wiem</t>
  </si>
  <si>
    <t xml:space="preserve">    Blok A2 — Typ kotła i technologia (obserwacja wzrokowa)</t>
  </si>
  <si>
    <t xml:space="preserve">A-08</t>
  </si>
  <si>
    <t xml:space="preserve">Czy kocioł jest kondensacyjny?</t>
  </si>
  <si>
    <t xml:space="preserve">TAK (kondensacyjny) = widoczny syfon / odpływ kondensatu pod kotłem, opis 'kondensacyjny' na tabliczce
NIE (konwencjonalny) = brak syfonu, wysoka temperatura na kominie
Nie wiem</t>
  </si>
  <si>
    <t xml:space="preserve">A-09</t>
  </si>
  <si>
    <t xml:space="preserve">Ile kotłów jest w tej kotłowni łącznie?</t>
  </si>
  <si>
    <t xml:space="preserve">szt.</t>
  </si>
  <si>
    <t xml:space="preserve">Policz wszystkie kotły — pracujące + rezerwowe + wyłączone</t>
  </si>
  <si>
    <t xml:space="preserve">A-10</t>
  </si>
  <si>
    <t xml:space="preserve">Czy kotły mają sterownik kaskadowy (zarządzający pracą kilku kotłów)?</t>
  </si>
  <si>
    <t xml:space="preserve">TAK — opisz (widoczna centrala sterowania z ekranem) / NIE — każdy kocioł pracuje niezależnie</t>
  </si>
  <si>
    <t xml:space="preserve">A-11</t>
  </si>
  <si>
    <t xml:space="preserve">Czy kocioł ma palnik modulowany (zmienna moc)?</t>
  </si>
  <si>
    <t xml:space="preserve">TAK — modulowany (na tabliczce lub opisie: 'modulacja', 'modulating') / NIE — on/off
Modulowany = mniejsze straty cykliczne</t>
  </si>
  <si>
    <t xml:space="preserve">A-12</t>
  </si>
  <si>
    <t xml:space="preserve">Czy komin / czopuch jest ocieplony?</t>
  </si>
  <si>
    <t xml:space="preserve">TAK — widoczna izolacja z wełny mineralnej lub blachy / NIE — gołe rury / Nie dotyczy (kocioł elektryczny)</t>
  </si>
  <si>
    <t xml:space="preserve">    Blok A3 — Parametry z tabliczki znamionowej (przepisz dokładnie)</t>
  </si>
  <si>
    <t xml:space="preserve">  ★ Tabliczka znamionowa = metalowa lub naklejona tabliczka na obudowie kotła. Przepisz DOKŁADNIE podane wartości — to są dane bazowe dla EnPI.</t>
  </si>
  <si>
    <t xml:space="preserve">A-13</t>
  </si>
  <si>
    <t xml:space="preserve">Moc nominalna (znamionowa) cieplna [kW]</t>
  </si>
  <si>
    <t xml:space="preserve">kW</t>
  </si>
  <si>
    <t xml:space="preserve">★ KLUCZOWE. Oznaczenia: Q_n / P_n / kW / kcal/h (przelicznik: 1 kcal/h = 1.163 W)</t>
  </si>
  <si>
    <t xml:space="preserve">A-14</t>
  </si>
  <si>
    <t xml:space="preserve">Moc minimalna (jeśli podana) [kW]</t>
  </si>
  <si>
    <t xml:space="preserve">Dla kotłów modulowanych — minimalne obciążenie. Stosunek min/max = zakres modulacji</t>
  </si>
  <si>
    <t xml:space="preserve">A-15</t>
  </si>
  <si>
    <t xml:space="preserve">Sprawność nominalna (deklarowana przez producenta) [%]</t>
  </si>
  <si>
    <t xml:space="preserve">% </t>
  </si>
  <si>
    <t xml:space="preserve">Oznaczenia: η / efficiency / Wirkungsgrad. Dla kondensacyjnych: często &gt;100% (liczone od Hs)</t>
  </si>
  <si>
    <t xml:space="preserve">A-16</t>
  </si>
  <si>
    <t xml:space="preserve">Temperatura zasilania nominalna / maksymalna [°C]</t>
  </si>
  <si>
    <t xml:space="preserve">°C</t>
  </si>
  <si>
    <t xml:space="preserve">Temp. wody wychodzącej z kotła. Np. 80°C lub 90°C dla konwencjonalnych</t>
  </si>
  <si>
    <t xml:space="preserve">A-17</t>
  </si>
  <si>
    <t xml:space="preserve">Temperatura powrotu minimalna [°C]</t>
  </si>
  <si>
    <t xml:space="preserve">Minimalna temp. powrotu — szczególnie ważna dla kondensacyjnych (&lt;57°C = kondensacja)</t>
  </si>
  <si>
    <t xml:space="preserve">A-18</t>
  </si>
  <si>
    <t xml:space="preserve">Ciśnienie robocze maksymalne [bar]</t>
  </si>
  <si>
    <t xml:space="preserve">bar</t>
  </si>
  <si>
    <t xml:space="preserve">Z tabliczki — np. 3 bar, 6 bar</t>
  </si>
  <si>
    <t xml:space="preserve">A-19</t>
  </si>
  <si>
    <t xml:space="preserve">Typ paliwa (z tabliczki lub napisów na palniku)</t>
  </si>
  <si>
    <t xml:space="preserve">Gaz ziemny G20 / Gaz ziemny G25 / Olej opałowy / Gaz LPG / Elektryczność</t>
  </si>
  <si>
    <t xml:space="preserve">    Blok A4 — Parametry eksploatacyjne (ze sterownika i mierników)</t>
  </si>
  <si>
    <t xml:space="preserve">A-20</t>
  </si>
  <si>
    <t xml:space="preserve">Aktualna temperatura zasilania (odczyt z wyświetlacza / termometru)</t>
  </si>
  <si>
    <t xml:space="preserve">Temperatura wody grzewczej na wyjściu z kotła w tej chwili</t>
  </si>
  <si>
    <t xml:space="preserve">A-21</t>
  </si>
  <si>
    <t xml:space="preserve">Aktualna temperatura powrotu</t>
  </si>
  <si>
    <t xml:space="preserve">Temperatura wody powracającej do kotła. Różnica (zasilanie - powrót) = ΔT = wskaźnik obciążenia</t>
  </si>
  <si>
    <t xml:space="preserve">A-22</t>
  </si>
  <si>
    <t xml:space="preserve">Czy sterownik kotła wyświetla roczne godziny pracy palnika (burner hours)?</t>
  </si>
  <si>
    <t xml:space="preserve">h</t>
  </si>
  <si>
    <t xml:space="preserve">TAK — podaj wartość / NIE. Motogodziny palnika = podstawa obliczenia zużycia paliwa</t>
  </si>
  <si>
    <t xml:space="preserve">A-23</t>
  </si>
  <si>
    <t xml:space="preserve">Godziny pracy palnika (burner hours) za ostatnie 12 miesięcy [h]</t>
  </si>
  <si>
    <t xml:space="preserve">Z panelu sterownika — menu 'Statystyki' / 'Hours' / 'Betriebsstunden'. Podaj okres (rok / od zerowania)</t>
  </si>
  <si>
    <t xml:space="preserve">A-24</t>
  </si>
  <si>
    <t xml:space="preserve">Czy kocioł ma licznik ciepła (ciepłomierz) pokazujący GJ lub MWh?</t>
  </si>
  <si>
    <t xml:space="preserve">TAK — podaj odczyt za 12 miesięcy [GJ lub MWh] / NIE — brak ciepłomierza</t>
  </si>
  <si>
    <t xml:space="preserve">A-25</t>
  </si>
  <si>
    <t xml:space="preserve">Produkcja ciepła za ostatnie 12 miesięcy (z ciepłomierza)</t>
  </si>
  <si>
    <t xml:space="preserve">GJ lub MWh</t>
  </si>
  <si>
    <t xml:space="preserve">Jeśli jest ciepłomierz. Przelicznik: 1 GJ = 0.278 MWh · 1 MWh = 3.6 GJ</t>
  </si>
  <si>
    <t xml:space="preserve">A-26</t>
  </si>
  <si>
    <t xml:space="preserve">Nastawa temperatury zasilania (set-point) w sterowniku</t>
  </si>
  <si>
    <t xml:space="preserve">Temperatura do której kocioł stara się podgrzać wodę grzewczą</t>
  </si>
  <si>
    <t xml:space="preserve">A-27</t>
  </si>
  <si>
    <t xml:space="preserve">Czy jest regulacja pogodowa (obniżanie temp. zasilania przy ciepłej pogodzie)?</t>
  </si>
  <si>
    <t xml:space="preserve">TAK — widoczny czujnik zewnętrzny (na ścianie budynku lub dachu) / NIE
Regulacja pogodowa = 5-15% oszczędności energii</t>
  </si>
  <si>
    <t xml:space="preserve">    Blok A5 — Stan techniczny (ocena wzrokowa i słuchowa)</t>
  </si>
  <si>
    <t xml:space="preserve">A-28</t>
  </si>
  <si>
    <t xml:space="preserve">Ogólna ocena stanu technicznego kotła (1-5)</t>
  </si>
  <si>
    <t xml:space="preserve">1=bardzo zły (wycieki, rdza, alarm) / 3=średni / 5=bardzo dobry (jak nowy)</t>
  </si>
  <si>
    <t xml:space="preserve">A-29</t>
  </si>
  <si>
    <t xml:space="preserve">Czy widoczne są wycieki wody lub gazu?</t>
  </si>
  <si>
    <t xml:space="preserve">NIE / TAK — opisz gdzie (kolektor, zawory, króćce, pompa). UWAGA: wyciek gazu — natychmiast informuj!</t>
  </si>
  <si>
    <t xml:space="preserve">A-30</t>
  </si>
  <si>
    <t xml:space="preserve">Stan izolacji termicznej kotła i armatury (rury w kotłowni)</t>
  </si>
  <si>
    <t xml:space="preserve">Dobra (cała armatura ocieplona) / Częściowa (tylko niektóre elementy) / Zła (gołe rury i zawory)</t>
  </si>
  <si>
    <t xml:space="preserve">A-31</t>
  </si>
  <si>
    <t xml:space="preserve">Czy widoczna jest sadza lub korozja w okolicach komina / palnika?</t>
  </si>
  <si>
    <t xml:space="preserve">NIE / TAK — opisz. Sadza = niekompletne spalanie = strata energii i emisja CO</t>
  </si>
  <si>
    <t xml:space="preserve">A-32</t>
  </si>
  <si>
    <t xml:space="preserve">Kiedy był ostatni przegląd serwisowy (z karty serwisowej)?</t>
  </si>
  <si>
    <t xml:space="preserve">Data DD.MM.RRRR lub 'nie wiem'. Roczny przegląd wymagany dla kotłów gazowych</t>
  </si>
  <si>
    <t xml:space="preserve">  ŚCIEŻKA D — POMPA CIEPŁA  (jeśli wybrałeś D w pytaniu P-00)</t>
  </si>
  <si>
    <t xml:space="preserve">D-01</t>
  </si>
  <si>
    <t xml:space="preserve">Producent i model pompy ciepła</t>
  </si>
  <si>
    <t xml:space="preserve">np. Daikin Altherma, Mitsubishi Ecodan, Vaillant geoTHERM, Nibe</t>
  </si>
  <si>
    <t xml:space="preserve">D-02</t>
  </si>
  <si>
    <t xml:space="preserve">Z tabliczki</t>
  </si>
  <si>
    <t xml:space="preserve">D-03</t>
  </si>
  <si>
    <t xml:space="preserve">Typ pompy ciepła</t>
  </si>
  <si>
    <t xml:space="preserve">Powietrze-woda (air-to-water) — widoczna jednostka zewnętrzna
Woda-woda (water-to-water) — wymiennik z wodą gruntową
Grunt-woda (ground-to-water) — kolektory gruntowe / pionowe odwierty</t>
  </si>
  <si>
    <t xml:space="preserve">D-04</t>
  </si>
  <si>
    <t xml:space="preserve">Moc nominalna grzewcza [kW]</t>
  </si>
  <si>
    <t xml:space="preserve">Z tabliczki — Q_h [kW]</t>
  </si>
  <si>
    <t xml:space="preserve">D-05</t>
  </si>
  <si>
    <t xml:space="preserve">Moc elektryczna pobierana [kW]</t>
  </si>
  <si>
    <t xml:space="preserve">Z tabliczki — P_el [kW]</t>
  </si>
  <si>
    <t xml:space="preserve">D-06</t>
  </si>
  <si>
    <t xml:space="preserve">Deklarowany COP (Coefficient of Performance)</t>
  </si>
  <si>
    <t xml:space="preserve">Z tabliczki lub karty — np. COP=4.0. Oznacza: z 1 kWh el. wytwarza 4 kWh ciepła</t>
  </si>
  <si>
    <t xml:space="preserve">D-07</t>
  </si>
  <si>
    <t xml:space="preserve">Czy pompa ciepła pracuje teraz? Ocena hałasu.</t>
  </si>
  <si>
    <t xml:space="preserve">Pracuje cicho / Pracuje głośno / Nie pracuje</t>
  </si>
  <si>
    <t xml:space="preserve">D-08</t>
  </si>
  <si>
    <t xml:space="preserve">Stan jednostki zewnętrznej (sprężarka, wentylator)</t>
  </si>
  <si>
    <t xml:space="preserve">Czysta (bez liści, lodu, zanieczyszczeń) / Brudna / Uszkodzona</t>
  </si>
  <si>
    <t xml:space="preserve">  ŚCIEŻKA E — WĘZEŁ CIEPLNY / WYMIENNIK  (jeśli wybrałeś E)</t>
  </si>
  <si>
    <t xml:space="preserve">E-01</t>
  </si>
  <si>
    <t xml:space="preserve">Typ węzła (z tabliczki lub schematu)</t>
  </si>
  <si>
    <t xml:space="preserve">Bezpośredni (woda z sieci = woda w inst.) / Pośredni (wymiennik płytowy między siecią a instalacją)</t>
  </si>
  <si>
    <t xml:space="preserve">E-02</t>
  </si>
  <si>
    <t xml:space="preserve">Producent wymiennika ciepła</t>
  </si>
  <si>
    <t xml:space="preserve">np. Alfa Laval, Danfoss, Swep, Zilmet</t>
  </si>
  <si>
    <t xml:space="preserve">E-03</t>
  </si>
  <si>
    <t xml:space="preserve">Moc wymiennika [kW]</t>
  </si>
  <si>
    <t xml:space="preserve">Z tabliczki wymiennika lub węzła</t>
  </si>
  <si>
    <t xml:space="preserve">E-04</t>
  </si>
  <si>
    <t xml:space="preserve">Temperatura zasilania z sieci ciepłowniczej (odczyt)</t>
  </si>
  <si>
    <t xml:space="preserve">Temperatura wody z sieci — wejście do węzła</t>
  </si>
  <si>
    <t xml:space="preserve">E-05</t>
  </si>
  <si>
    <t xml:space="preserve">Temperatura powrotu do sieci (odczyt)</t>
  </si>
  <si>
    <t xml:space="preserve">Im niższy powrót tym lepsza efektywność sieci ciepłowniczej</t>
  </si>
  <si>
    <t xml:space="preserve">  BLOK Z — COMPLIANCE: USTAWA O CHARAKTERYSTYCE ENERGETYCZNEJ BUDYNKÓW  ★ NIEZGODNOŚĆ PRAWNA</t>
  </si>
  <si>
    <t xml:space="preserve">PODSTAWA PRAWNA: Ustawa z 29.08.2014 r. o charakterystyce energetycznej budynków (t.j. Dz.U. 2023 poz. 1498) + Rozporządzenie MRiT z 14.03.2023 r. (Dz.U. 2023 poz. 729). Brak aktualnej kontroli lub brak wpisu do Centralnego Rejestru = NIEZGODNOŚĆ PRAWNA → kara grzywny wg art. 41 pkt 3 ustawy + niezgodność ISO 50001 kl. 9.1 (wymagania prawne).</t>
  </si>
  <si>
    <t xml:space="preserve">Z-01</t>
  </si>
  <si>
    <t xml:space="preserve">Czy dla tego kotła / urządzenia przeprowadzono kontrolę wg Ustawy o charakterystyce energetycznej budynków?</t>
  </si>
  <si>
    <t xml:space="preserve">TAK — przejdź do Z-02 / NIE — NIEZGODNOŚĆ PRAWNA (wpisz w Z-09) / NIE WIEM</t>
  </si>
  <si>
    <t xml:space="preserve">Z-02</t>
  </si>
  <si>
    <t xml:space="preserve">Data ostatniej kontroli wg ustawy (z protokołu kontroli)</t>
  </si>
  <si>
    <t xml:space="preserve">DD.MM.RRRR — z protokołu z Centralnego Rejestru</t>
  </si>
  <si>
    <t xml:space="preserve">Z-03</t>
  </si>
  <si>
    <t xml:space="preserve">Numer protokołu z Centralnego Rejestru charakterystyki energetycznej budynków</t>
  </si>
  <si>
    <t xml:space="preserve">Format: np. PO/2023/001234. Każdy protokół ma unikalny numer nadany przez system e-CR</t>
  </si>
  <si>
    <t xml:space="preserve">Z-04</t>
  </si>
  <si>
    <t xml:space="preserve">Czy numer protokołu można zweryfikować w systemie e-CR (gov.pl)?</t>
  </si>
  <si>
    <t xml:space="preserve">TAK — sprawdzono i protokół istnieje w rejestrze / NIE — brak wpisu = NIEZGODNOŚĆ
Weryfikacja: gov.pl → Centralny Rejestr Charakterystyki Energetycznej Budynków</t>
  </si>
  <si>
    <t xml:space="preserve">Z-05</t>
  </si>
  <si>
    <t xml:space="preserve">Jaka jest moc nominalna kotła / urządzenia i jakie paliwo? (przepisz z A-13 i A-19)</t>
  </si>
  <si>
    <t xml:space="preserve">Potrzebne do ustalenia wymaganej częstotliwości kontroli wg art. 23 ustawy</t>
  </si>
  <si>
    <t xml:space="preserve">Z-06</t>
  </si>
  <si>
    <t xml:space="preserve">Wymagana częstotliwość kontroli wg art. 23 ustawy dla tego urządzenia:</t>
  </si>
  <si>
    <t xml:space="preserve">co 5 lat = kocioł gazowy/olejowy 20-100 kW
co 4 lata = kocioł GAZOWY &gt;100 kW
co 2 lata = kocioł OLEJOWY lub STAŁY &gt;100 kW
co 3 lata = pompa ciepła / węzeł &gt;70 kW
BRAK OBOWIĄZKU = kocioł &lt;20 kW</t>
  </si>
  <si>
    <t xml:space="preserve">Z-07</t>
  </si>
  <si>
    <t xml:space="preserve">Kiedy powinna być wykonana KOLEJNA kontrola wg ustawy?</t>
  </si>
  <si>
    <t xml:space="preserve">Oblicz: data_ostatniej + wymagana_częstotliwość. Wpisz datę graniczną DD.MM.RRRR
Jeśli termin minął → NIEZGODNOŚĆ PRAWNA</t>
  </si>
  <si>
    <t xml:space="preserve">Z-08</t>
  </si>
  <si>
    <t xml:space="preserve">Czy kocioł obsługuje też ciepłą wodę użytkową (CWU)?</t>
  </si>
  <si>
    <t xml:space="preserve">TAK / NIE. CWU wchodzi w zakres systemu ogrzewania wg ustawy i protokołu kontroli</t>
  </si>
  <si>
    <t xml:space="preserve">Z-09</t>
  </si>
  <si>
    <t xml:space="preserve">Czy zakład posiada umowę ESCO lub jest obsługiwany przez operatora z monitoringiem?</t>
  </si>
  <si>
    <t xml:space="preserve">TAK (ESCO / operator) → ZWOLNIENIE z obowiązku kontroli wg art. 23 ust. 4 ustawy
NIE → kontrola obowiązkowa</t>
  </si>
  <si>
    <t xml:space="preserve">Z-10</t>
  </si>
  <si>
    <t xml:space="preserve">Ocena doboru mocy kotła do zapotrzebowania budynku (wymagana art. 23 ustawy)</t>
  </si>
  <si>
    <t xml:space="preserve">ADEKWATNA (moc ~100-130% max zapotrzebowania) / PRZEWYMIAROWANA (&gt;150% — częsta praca na częściowym obciążeniu, niższa sprawność) / NIEDOWYMIAROWANA (&lt;90% — nie pokrywa potrzeb szczytowych)</t>
  </si>
  <si>
    <t xml:space="preserve">Z-11</t>
  </si>
  <si>
    <t xml:space="preserve">Ocena zdolności systemu do optymalizacji (wymagana art. 23 ustawy)</t>
  </si>
  <si>
    <t xml:space="preserve">DOBRA — jest regulacja pogodowa + harmonogram nocny + automatyka kaskady
CZĘŚCIOWA — jest jeden element z powyższych
BRAK — brak automatyki = kocioł nie optymalizuje pracy</t>
  </si>
  <si>
    <t xml:space="preserve">Z-12</t>
  </si>
  <si>
    <t xml:space="preserve">STWIERDZONE NIEZGODNOŚCI PRAWNE (wypełnia Konsultant ENESA po sprawdzeniu powyższych)</t>
  </si>
  <si>
    <t xml:space="preserve">Wpisz numery pytań gdzie stwierdzono niezgodność: np. 'Z-01, Z-04 — brak kontroli i brak wpisu w rejestrze'
BRAK = wszystkie wymagania spełnione</t>
  </si>
  <si>
    <t xml:space="preserve">  ENESA  ·  A-EnMS-HTG-01  ·  ANKIETA ETAP 1  ·  Wersja 3.1  ·  Blok Z: Ustawa o char. energet. budynków 29.08.2014 + Rozp. MRiT 14.03.2023</t>
  </si>
  <si>
    <t xml:space="preserve">ENESA  ·  PASZPORT URZĄDZENIA GRZEWCZEGO  ·  A-EnMS-HTG-01  ·  ETAP 2 — DTR</t>
  </si>
  <si>
    <t xml:space="preserve">Wypełnia: Energy Manager  ·  Pola NIEBIESKIE = wpisz  ·  Pola SZARE = formuły Excel</t>
  </si>
  <si>
    <t xml:space="preserve">Parametr (z DTR)</t>
  </si>
  <si>
    <t xml:space="preserve">Wartość</t>
  </si>
  <si>
    <t xml:space="preserve">Norma / Źródło</t>
  </si>
  <si>
    <t xml:space="preserve">Wskazówka / Wzór</t>
  </si>
  <si>
    <t xml:space="preserve">  SEKCJA 1 — DANE TECHNICZNE Z DTR (kocioł / pompa ciepła / węzeł)</t>
  </si>
  <si>
    <t xml:space="preserve">Typ urządzenia grzewczego</t>
  </si>
  <si>
    <t xml:space="preserve">Etap1 P-00</t>
  </si>
  <si>
    <t xml:space="preserve">Kocioł gazowy / olejowy / biomasa / pompa ciepła / węzeł cieplny</t>
  </si>
  <si>
    <t xml:space="preserve">Producent i model</t>
  </si>
  <si>
    <t xml:space="preserve">Etap1 A-01/A-02</t>
  </si>
  <si>
    <t xml:space="preserve">Przepisz z Etapu 1</t>
  </si>
  <si>
    <t xml:space="preserve">Etap1 A-03</t>
  </si>
  <si>
    <t xml:space="preserve">Wiek urządzenia → ocena potencjału modernizacji</t>
  </si>
  <si>
    <t xml:space="preserve">Technologia kotła</t>
  </si>
  <si>
    <t xml:space="preserve">DTR</t>
  </si>
  <si>
    <t xml:space="preserve">Kondensacyjny / Niskotemperaturowy / Konwencjonalny / El. / Pompa ciepła</t>
  </si>
  <si>
    <t xml:space="preserve">Moc nominalna cieplna Q_n [kW]</t>
  </si>
  <si>
    <t xml:space="preserve">DTR str.1 / tabliczka</t>
  </si>
  <si>
    <t xml:space="preserve">Z tabliczki Etap1 A-13. KLUCZOWE dla obliczeń EnPI</t>
  </si>
  <si>
    <t xml:space="preserve">Moc minimalna Q_min [kW]</t>
  </si>
  <si>
    <t xml:space="preserve">Dla kotłów modulowanych. Stosunek Q_min/Q_n = minimalny stopień modulacji</t>
  </si>
  <si>
    <t xml:space="preserve">Sprawność przy mocy nominalnej η_100 [%]</t>
  </si>
  <si>
    <t xml:space="preserve">%</t>
  </si>
  <si>
    <t xml:space="preserve">PN-EN 15378 / DTR</t>
  </si>
  <si>
    <t xml:space="preserve">Sprawność grzewcza przy 100% obciążeniu i parametrach 80/60°C (konw.) lub 50/30°C (kond.)</t>
  </si>
  <si>
    <t xml:space="preserve">Sprawność przy 30% mocy η_30 [%]</t>
  </si>
  <si>
    <t xml:space="preserve">Sprawność przy częściowym obciążeniu — ważniejsza niż η_100 bo kocioł rzadko pracuje na 100%</t>
  </si>
  <si>
    <t xml:space="preserve">Sezonowa sprawność energetyczna (η_s lub AFUE) [%]</t>
  </si>
  <si>
    <t xml:space="preserve">Rozp. EU 813/2013</t>
  </si>
  <si>
    <t xml:space="preserve">Średnioroczna sprawność uwzględniająca pracę częściową i straty gotowości. Najważniejszy wskaźnik.</t>
  </si>
  <si>
    <t xml:space="preserve">Temperatura spalin przy pełnym obciążeniu [°C]</t>
  </si>
  <si>
    <t xml:space="preserve">DTR / pomiar serwisowy</t>
  </si>
  <si>
    <t xml:space="preserve">Temp. spalin wychodzących kominem. Każde 10°C powyżej normy = ~0.5% straty. Norma: &lt;120°C dla kond.</t>
  </si>
  <si>
    <t xml:space="preserve">Zawartość O₂ w spalinach [%]</t>
  </si>
  <si>
    <t xml:space="preserve">Pomiar analizatorem spalin</t>
  </si>
  <si>
    <t xml:space="preserve">Norma: gaz ziemny 3-5% O₂. &lt;3% = brak powietrza (czad). &gt;6% = nadmiar powietrza = straty</t>
  </si>
  <si>
    <t xml:space="preserve">Zawartość CO w spalinach [ppm]</t>
  </si>
  <si>
    <t xml:space="preserve">ppm</t>
  </si>
  <si>
    <t xml:space="preserve">CO = wskaźnik jakości spalania. &lt;50 ppm = dobre. &gt;200 ppm = palnik wymaga regulacji</t>
  </si>
  <si>
    <t xml:space="preserve">Temperatura zasilania nominalna [°C]</t>
  </si>
  <si>
    <t xml:space="preserve">Temperatura wody na wyjściu przy znamionowym obciążeniu</t>
  </si>
  <si>
    <t xml:space="preserve">Temperatura powrotu minimalna dla kondensacji [°C]</t>
  </si>
  <si>
    <t xml:space="preserve">DTR — dla kotłów kond.</t>
  </si>
  <si>
    <t xml:space="preserve">Kotły kondensacyjne wymagają T_powrotu &lt;57°C aby skraplać parę wodną ze spalin</t>
  </si>
  <si>
    <t xml:space="preserve">COP nominalne (tylko pompy ciepła)</t>
  </si>
  <si>
    <t xml:space="preserve">DTR / karta energetyczna</t>
  </si>
  <si>
    <t xml:space="preserve">Coefficient of Performance = Q_grzewcze / P_elektryczna. np. COP=3.5 → 3.5 kWh ciepła z 1 kWh el.</t>
  </si>
  <si>
    <t xml:space="preserve">Klasa efektywności energetycznej (EU EcoDesign)</t>
  </si>
  <si>
    <t xml:space="preserve">A+++ do D (kotły). A++ do G (podgrzewacze wody). Wydrukowane na etykiecie energetycznej</t>
  </si>
  <si>
    <t xml:space="preserve">  SEKCJA 2 — DANE EKSPLOATACYJNE I OBLICZENIA ENERGETYCZNE</t>
  </si>
  <si>
    <t xml:space="preserve">Moc nominalna Q_n [kW] — powtórzenie do obliczeń</t>
  </si>
  <si>
    <t xml:space="preserve">DTR Sek.1</t>
  </si>
  <si>
    <t xml:space="preserve">Przepisz z Sekcji 1 lub wpisz =B7 (wiersz z mocą nominalną)</t>
  </si>
  <si>
    <t xml:space="preserve">Liczba godzin pracy palnika / sprężarki [h/rok]</t>
  </si>
  <si>
    <t xml:space="preserve">h/rok</t>
  </si>
  <si>
    <t xml:space="preserve">Etap1 A-23</t>
  </si>
  <si>
    <t xml:space="preserve">Z motogodzin sterownika Etap1 pytanie A-23. Kluczowy input do modelu bottom-up</t>
  </si>
  <si>
    <t xml:space="preserve">Średnie obciążenie kotła (szacowane) [%]</t>
  </si>
  <si>
    <t xml:space="preserve">Eksploatacja</t>
  </si>
  <si>
    <t xml:space="preserve">Jaki % mocy nominalnej pracuje średnio? Typowo 40-70%. Wpływa na sprawność pracy</t>
  </si>
  <si>
    <t xml:space="preserve">Produkcja ciepła roczna (z ciepłomierza) [MWh/rok]</t>
  </si>
  <si>
    <t xml:space="preserve">MWh/rok</t>
  </si>
  <si>
    <t xml:space="preserve">Etap1 A-25</t>
  </si>
  <si>
    <t xml:space="preserve">Jeśli jest ciepłomierz — przepisz z A-25. Jeśli GJ: podziel przez 3.6. Jeśli brak: pozostaw puste</t>
  </si>
  <si>
    <t xml:space="preserve">Zużycie paliwa roczne (z licznika/faktury)</t>
  </si>
  <si>
    <t xml:space="preserve">m³/rok lub l/rok</t>
  </si>
  <si>
    <t xml:space="preserve">Faktura / licznik gazu</t>
  </si>
  <si>
    <t xml:space="preserve">Gaz ziemny: m³/rok. Olej: l/rok. Propan-butan: kg/rok. Biomasa: t/rok</t>
  </si>
  <si>
    <t xml:space="preserve">Wartość opałowa paliwa (Hu / dolna)</t>
  </si>
  <si>
    <t xml:space="preserve">kWh/m³ lub kWh/l</t>
  </si>
  <si>
    <t xml:space="preserve">GUS / dostawca paliwa</t>
  </si>
  <si>
    <t xml:space="preserve">Gaz ziemny G20: 9.97 kWh/m³. Olej opałowy: 10.0 kWh/l. LPG propan: 12.87 kWh/kg</t>
  </si>
  <si>
    <t xml:space="preserve">Cena paliwa [zł/m³ lub zł/l]</t>
  </si>
  <si>
    <t xml:space="preserve">zł/m³</t>
  </si>
  <si>
    <t xml:space="preserve">Faktura za paliwo</t>
  </si>
  <si>
    <t xml:space="preserve">Aktualna cena paliwa — z ostatniej faktury. Gaz ziemny: aktualnie zapytaj dostawcę</t>
  </si>
  <si>
    <t xml:space="preserve">Cena energii elektrycznej (dla pomp ciepła) [zł/kWh]</t>
  </si>
  <si>
    <t xml:space="preserve">zł/kWh</t>
  </si>
  <si>
    <t xml:space="preserve">Faktura energii</t>
  </si>
  <si>
    <t xml:space="preserve">Dla pomp ciepła — cena energii elektrycznej napędzającej sprężarkę</t>
  </si>
  <si>
    <t xml:space="preserve">  SEKCJA 3 — OBLICZENIA MODELU BOTTOM-UP (formuły Excel)</t>
  </si>
  <si>
    <t xml:space="preserve">  Wzór: E_paliwo [kWh/rok] = zużycie_paliwa × wartość_opałowa  ·  E_ciepło [kWh/rok] = E_paliwo × η_s / 100  ·  EnPI [kWh/kWh] = E_ciepło / E_paliwo = η_s  ·  Dla pompy ciepła: E_ciepło = COP × E_el</t>
  </si>
  <si>
    <t xml:space="preserve">E_paliwo roczne — energia chemiczna paliwa [kWh/rok]</t>
  </si>
  <si>
    <t xml:space="preserve">kWh/rok</t>
  </si>
  <si>
    <t xml:space="preserve">OBLICZONA</t>
  </si>
  <si>
    <t xml:space="preserve"> = zużycie_paliwa × wartość_opałowa_Hu</t>
  </si>
  <si>
    <t xml:space="preserve">E_ciepło model (E_paliwo × η_s) [kWh/rok]</t>
  </si>
  <si>
    <t xml:space="preserve"> = E_paliwo × sprawność_sezonowa / 100</t>
  </si>
  <si>
    <t xml:space="preserve">E_ciepło licznik (z ciepłomierza) [kWh/rok]</t>
  </si>
  <si>
    <t xml:space="preserve">Z ciepłomierza</t>
  </si>
  <si>
    <t xml:space="preserve"> Z Etap1 A-25. Wypełnia się automatycznie jeśli wpisano dane</t>
  </si>
  <si>
    <t xml:space="preserve">Odchylenie walidacyjne |ΔE| [%]</t>
  </si>
  <si>
    <t xml:space="preserve">OBLICZONA · P-EnMS-02</t>
  </si>
  <si>
    <t xml:space="preserve"> |ΔE| = |E_model - E_licznik| / E_licznik × 100. Cel: ≤5%</t>
  </si>
  <si>
    <t xml:space="preserve">Decyzja o modelu bottom-up</t>
  </si>
  <si>
    <t xml:space="preserve"> Walidacja modelu bottom-up P-EnMS-02</t>
  </si>
  <si>
    <t xml:space="preserve">Koszt paliwa roczny [zł/rok]</t>
  </si>
  <si>
    <t xml:space="preserve">zł/rok</t>
  </si>
  <si>
    <t xml:space="preserve"> = E_paliwo × cena_paliwa</t>
  </si>
  <si>
    <t xml:space="preserve">EnPI kotła = sprawność eksploatacyjna [%]</t>
  </si>
  <si>
    <t xml:space="preserve">OBLICZONA · PN-EN 15378</t>
  </si>
  <si>
    <t xml:space="preserve"> = E_ciepło / E_paliwo × 100. Im wyższy tym lepszy</t>
  </si>
  <si>
    <t xml:space="preserve">Straty kotła (strata kominowa + strata gotowości) [%]</t>
  </si>
  <si>
    <t xml:space="preserve"> = 100% - EnPI. Typowe: kond. &lt;8% / niskotem. 8-12% / konw. 12-20%</t>
  </si>
  <si>
    <t xml:space="preserve">Potencjał oszczędności przez modernizację na kondensacyjny [kWh/rok]</t>
  </si>
  <si>
    <t xml:space="preserve">OBLICZONA (szacunek)</t>
  </si>
  <si>
    <t xml:space="preserve"> = E_paliwo × (η_kond_cel=95% - η_aktualna). Tylko jeśli nie jest kond.</t>
  </si>
  <si>
    <t xml:space="preserve">Wartość potencjału modernizacji [zł/rok]</t>
  </si>
  <si>
    <t xml:space="preserve"> = E_oszczędność × cena_paliwa</t>
  </si>
  <si>
    <t xml:space="preserve">  SEKCJA 4 — DANE EKSPLOATACYJNE SPALIN (z przeglądu rocznego)</t>
  </si>
  <si>
    <t xml:space="preserve">  Poniższe parametry uzyskuje się podczas corocznego przeglądu serwisowego z analizą spalin. Przepisz z protokołu serwisowego lub poproś serwisanta o pomiar.</t>
  </si>
  <si>
    <t xml:space="preserve">Data ostatniego pomiaru analizy spalin</t>
  </si>
  <si>
    <t xml:space="preserve">Protokół serwisowy</t>
  </si>
  <si>
    <t xml:space="preserve">DD.MM.RRRR — z karty serwisowej</t>
  </si>
  <si>
    <t xml:space="preserve">Temperatura spalin przy nominalnym obciążeniu [°C]</t>
  </si>
  <si>
    <t xml:space="preserve">Pomiar analizatorem</t>
  </si>
  <si>
    <t xml:space="preserve">Benchmark: kocioł konwencjonalny &lt;180°C / niskotem. &lt;120°C / kondensacyjny &lt;60°C</t>
  </si>
  <si>
    <t xml:space="preserve">Norma dla gazu: 3-5%. Nadmiar O₂ = nadmiar powietrza = kWh wylatują kominem</t>
  </si>
  <si>
    <t xml:space="preserve">Zawartość CO₂ w spalinach [%]</t>
  </si>
  <si>
    <t xml:space="preserve">Gaz ziemny: CO₂ max = 11.7%. Im wyższe CO₂ tym lepsze spalanie (ale nie za wysokie)</t>
  </si>
  <si>
    <t xml:space="preserve">CO &lt; 50 ppm = dobre spalanie. CO &gt; 200 ppm = palnik wymaga regulacji → niebezpieczne</t>
  </si>
  <si>
    <t xml:space="preserve">Straty kominowe (obliczone przez analizator) [%]</t>
  </si>
  <si>
    <t xml:space="preserve">Bezpośredni wynik pomiaru — suma strat przez ciepło spalin i niezupełne spalanie</t>
  </si>
  <si>
    <t xml:space="preserve">Sprawność kotła (obliczona przez analizator) [%]</t>
  </si>
  <si>
    <t xml:space="preserve"> = 100% - straty kominowe. Wpisz jeśli analizator podał wartość</t>
  </si>
  <si>
    <t xml:space="preserve">  SEKCJA 5 — COMPLIANCE PRAWNY: USTAWA O CHARAKTERYSTYCE ENERGETYCZNEJ BUDYNKÓW</t>
  </si>
  <si>
    <t xml:space="preserve">  Wymagane przez: art. 23 Ustawy z 29.08.2014 r. (t.j. Dz.U. 2023 poz. 1498)  ·  Rozporządzenie MRiT z 14.03.2023 r. (Dz.U. 2023 poz. 729)  ·  Brak wpisu w Centralnym Rejestrze = niezgodność prawna → kara grzywny (art. 41 pkt 3)</t>
  </si>
  <si>
    <t xml:space="preserve">Data ostatniej kontroli wg ustawy</t>
  </si>
  <si>
    <t xml:space="preserve">Etap1 Z-02</t>
  </si>
  <si>
    <t xml:space="preserve">Przepisz z Z-02. DD.MM.RRRR — z protokołu kontroli</t>
  </si>
  <si>
    <t xml:space="preserve">Numer protokołu z Centralnego Rejestru e-CR</t>
  </si>
  <si>
    <t xml:space="preserve">Etap1 Z-03</t>
  </si>
  <si>
    <t xml:space="preserve">Unikalny numer nadany przez system. Weryfikacja: gov.pl → rejestr</t>
  </si>
  <si>
    <t xml:space="preserve">Czy protokół zweryfikowany w e-CR?</t>
  </si>
  <si>
    <t xml:space="preserve">Etap1 Z-04</t>
  </si>
  <si>
    <t xml:space="preserve">TAK — wpis istnieje / NIE — NIEZGODNOŚĆ PRAWNA</t>
  </si>
  <si>
    <t xml:space="preserve">Wymagana częstotliwość kontroli</t>
  </si>
  <si>
    <t xml:space="preserve">lata</t>
  </si>
  <si>
    <t xml:space="preserve">art. 23 ustawy</t>
  </si>
  <si>
    <t xml:space="preserve">5 lat = kocioł gaz/olej 20-100kW · 4 lata = kocioł gaz &gt;100kW · 2 lata = kocioł olej/stały &gt;100kW · 3 lata = pompa ciepła / węzeł &gt;70kW</t>
  </si>
  <si>
    <t xml:space="preserve">Moc nominalna urządzenia [kW]</t>
  </si>
  <si>
    <t xml:space="preserve">Etap1 A-13</t>
  </si>
  <si>
    <t xml:space="preserve">Przepisz z A-13 — potrzebna do automatycznego obliczenia terminu</t>
  </si>
  <si>
    <t xml:space="preserve">Rodzaj paliwa</t>
  </si>
  <si>
    <t xml:space="preserve">Etap1 A-19</t>
  </si>
  <si>
    <t xml:space="preserve">Przepisz z A-19</t>
  </si>
  <si>
    <t xml:space="preserve">Czy urządzenie obsługuje CWU?</t>
  </si>
  <si>
    <t xml:space="preserve">Etap1 Z-08</t>
  </si>
  <si>
    <t xml:space="preserve">TAK / NIE — CWU wchodzi w zakres protokołu kontroli</t>
  </si>
  <si>
    <t xml:space="preserve">Czy zakład ma umowę ESCO lub monitoring operatora?</t>
  </si>
  <si>
    <t xml:space="preserve">Etap1 Z-09</t>
  </si>
  <si>
    <t xml:space="preserve">TAK → zwolnienie z kontroli / NIE → kontrola obowiązkowa</t>
  </si>
  <si>
    <t xml:space="preserve">    Obliczenia terminu kolejnej kontroli i ocena zgodności</t>
  </si>
  <si>
    <t xml:space="preserve">Termin kolejnej obowiązkowej kontroli (obliczony)</t>
  </si>
  <si>
    <t xml:space="preserve"> = data_ostatniej + częstotliwość_lata × 12 miesięcy. Sprawdź czy nie minął!</t>
  </si>
  <si>
    <t xml:space="preserve">Dni do terminu kolejnej kontroli (ujemne = PRZEKROCZONY)</t>
  </si>
  <si>
    <t xml:space="preserve">dni</t>
  </si>
  <si>
    <t xml:space="preserve"> Wartość ujemna = termin minął = NIEZGODNOŚĆ. Wartość 0-90 = działaj natychmiast</t>
  </si>
  <si>
    <t xml:space="preserve">STATUS COMPLIANCE PRAWNEGO — kontrola wg ustawy</t>
  </si>
  <si>
    <t xml:space="preserve">OBLICZONA · KLUCZOWE</t>
  </si>
  <si>
    <t xml:space="preserve"> Automatyczna ocena na podstawie danych z ETap1 i powyższych pól</t>
  </si>
  <si>
    <t xml:space="preserve">Ocena doboru mocy do potrzeb (wymagana art. 23 ustawy)</t>
  </si>
  <si>
    <t xml:space="preserve">Etap1 Z-10</t>
  </si>
  <si>
    <t xml:space="preserve">ADEKWATNA / PRZEWYMIAROWANA / NIEDOWYMIAROWANA. Przepisz z Z-10</t>
  </si>
  <si>
    <t xml:space="preserve">Ocena zdolności do optymalizacji (wymagana art. 23 ustawy)</t>
  </si>
  <si>
    <t xml:space="preserve">Etap1 Z-11</t>
  </si>
  <si>
    <t xml:space="preserve">DOBRA / CZĘŚCIOWA / BRAK. Przepisz z Z-11</t>
  </si>
  <si>
    <t xml:space="preserve">Niezgodności stwierdzone wg listy z Etapu 1</t>
  </si>
  <si>
    <t xml:space="preserve">Etap1 Z-12</t>
  </si>
  <si>
    <t xml:space="preserve">Przepisz z Z-12 — lista numerów pytań gdzie stwierdzono niezgodność</t>
  </si>
  <si>
    <t xml:space="preserve">  ENESA  ·  A-EnMS-HTG-01  ·  ETAP 2 DTR  ·  Wersja 3.1  ·  Sekcja 5: Ustawa o char. energet. 29.08.2014 + Rozp. MRiT 14.03.2023 Dz.U. 2023 poz. 729</t>
  </si>
  <si>
    <t xml:space="preserve">PASZPORT ENERGETYCZNY URZĄDZENIA GRZEWCZEGO  ·  A-EnMS-HTG-01</t>
  </si>
  <si>
    <t xml:space="preserve">System Zarządzania Energią ISO 50001  ·  ENESA  ·  PN-EN 303 · PN-EN 15378 · Rozp.EU 813/2013  ·  v3.0</t>
  </si>
  <si>
    <t xml:space="preserve">KOD QR:</t>
  </si>
  <si>
    <t xml:space="preserve">Ścieżka (A/B/D/E/F):</t>
  </si>
  <si>
    <t xml:space="preserve">Status:</t>
  </si>
  <si>
    <t xml:space="preserve">  1.  IDENTYFIKACJA URZĄDZENIA</t>
  </si>
  <si>
    <t xml:space="preserve">Typ urządzenia</t>
  </si>
  <si>
    <t xml:space="preserve">[z DTR Sek.1]</t>
  </si>
  <si>
    <t xml:space="preserve">Producent / Model</t>
  </si>
  <si>
    <t xml:space="preserve">[z Etap1 A-01/A-02]</t>
  </si>
  <si>
    <t xml:space="preserve">[z Etap1 A-03]</t>
  </si>
  <si>
    <t xml:space="preserve">Technologia</t>
  </si>
  <si>
    <t xml:space="preserve">[z DTR Sek.1 — kond./konw./PCI]</t>
  </si>
  <si>
    <t xml:space="preserve">Moc nominalna [kW]</t>
  </si>
  <si>
    <t xml:space="preserve">[z Etap1 A-13 / DTR Sek.1]</t>
  </si>
  <si>
    <t xml:space="preserve">Klasa efektywności EU</t>
  </si>
  <si>
    <t xml:space="preserve">Lokalizacja</t>
  </si>
  <si>
    <t xml:space="preserve">[z Etap1 A-05]</t>
  </si>
  <si>
    <t xml:space="preserve">Obsługiwana strefa</t>
  </si>
  <si>
    <t xml:space="preserve">[z Etap1 A-06]</t>
  </si>
  <si>
    <t xml:space="preserve">Regulacja pogodowa</t>
  </si>
  <si>
    <t xml:space="preserve">[z Etap1 A-27]</t>
  </si>
  <si>
    <t xml:space="preserve">Paliwo</t>
  </si>
  <si>
    <t xml:space="preserve">[z Etap1 A-19]</t>
  </si>
  <si>
    <t xml:space="preserve">  2.  KLUCZOWE WSKAŹNIKI EnPI  ★</t>
  </si>
  <si>
    <t xml:space="preserve">Wskaźnik</t>
  </si>
  <si>
    <t xml:space="preserve">Jednostka</t>
  </si>
  <si>
    <t xml:space="preserve">Benchmark</t>
  </si>
  <si>
    <t xml:space="preserve">Klasyfikacja</t>
  </si>
  <si>
    <t xml:space="preserve">Sprawność sezonowa η_s</t>
  </si>
  <si>
    <t xml:space="preserve">&lt;80% konw. zły · 80-88% konw. OK · 88-95% niskotemp. · &gt;95% kond. dobry</t>
  </si>
  <si>
    <t xml:space="preserve">[auto]</t>
  </si>
  <si>
    <t xml:space="preserve">EnPI eksploatacyjny (E_ciepło/E_paliwo)</t>
  </si>
  <si>
    <t xml:space="preserve">[z DTR Sek.3]</t>
  </si>
  <si>
    <t xml:space="preserve">Im wyższy tym lepiej. Cel: &gt;92% dla kondensacyjnych</t>
  </si>
  <si>
    <t xml:space="preserve">Straty kotła łączne</t>
  </si>
  <si>
    <t xml:space="preserve">&lt;8% dobry · 8-12% przeciętny · &gt;12% nieefektywny</t>
  </si>
  <si>
    <t xml:space="preserve">Temperatura spalin</t>
  </si>
  <si>
    <t xml:space="preserve">[z DTR Sek.4]</t>
  </si>
  <si>
    <t xml:space="preserve">Kond. &lt;60°C · Niskotemp. &lt;120°C · Konw. &lt;180°C · &gt;200°C = problem</t>
  </si>
  <si>
    <t xml:space="preserve">Zawartość O₂ w spalinach</t>
  </si>
  <si>
    <t xml:space="preserve">3-5% optymalnie · &gt;6% nadmiar powietrza · &lt;3% brak powietrza (CO!)</t>
  </si>
  <si>
    <t xml:space="preserve">Zawartość CO w spalinach</t>
  </si>
  <si>
    <t xml:space="preserve">&lt;50 ppm dobry · &lt;200 ppm OK · &gt;200 ppm wymaga regulacji palnika</t>
  </si>
  <si>
    <t xml:space="preserve">Walidacja modelu |ΔE|</t>
  </si>
  <si>
    <t xml:space="preserve">≤5% zatwierdzony · &gt;10% odrzucony</t>
  </si>
  <si>
    <t xml:space="preserve">Koszt paliwa roczny</t>
  </si>
  <si>
    <t xml:space="preserve">Podstawa do oceny potencjału inwestycji</t>
  </si>
  <si>
    <t xml:space="preserve">Potencjał modernizacji na kond.</t>
  </si>
  <si>
    <t xml:space="preserve">Tylko jeśli kocioł NIE jest kondensacyjny</t>
  </si>
  <si>
    <t xml:space="preserve">  3.  STAN TECHNICZNY — OBSERWACJE ETAP 1</t>
  </si>
  <si>
    <t xml:space="preserve">Ogólna ocena (1-5)</t>
  </si>
  <si>
    <t xml:space="preserve">[z Etap1 Blok A5]</t>
  </si>
  <si>
    <t xml:space="preserve">Wycieki wody/gazu</t>
  </si>
  <si>
    <t xml:space="preserve">Stan izolacji armatury</t>
  </si>
  <si>
    <t xml:space="preserve">Sadza / korozja komina</t>
  </si>
  <si>
    <t xml:space="preserve">Data ostatniego przeglądu serwisowego</t>
  </si>
  <si>
    <t xml:space="preserve">  4.  ZATWIERDZENIE PASZPORTU</t>
  </si>
  <si>
    <t xml:space="preserve">Pracownik UR (Etap 1):</t>
  </si>
  <si>
    <t xml:space="preserve">Podpis: ________________</t>
  </si>
  <si>
    <t xml:space="preserve">Data:</t>
  </si>
  <si>
    <t xml:space="preserve">________________</t>
  </si>
  <si>
    <t xml:space="preserve">Energy Manager (Etap 2):</t>
  </si>
  <si>
    <t xml:space="preserve">  5.  COMPLIANCE PRAWNY — USTAWA O CHARAKTERYSTYCE ENERGETYCZNEJ BUDYNKÓW</t>
  </si>
  <si>
    <t xml:space="preserve">Wymaganie prawne</t>
  </si>
  <si>
    <t xml:space="preserve">Stan faktyczny</t>
  </si>
  <si>
    <t xml:space="preserve">Status</t>
  </si>
  <si>
    <t xml:space="preserve">Podstawa prawna</t>
  </si>
  <si>
    <t xml:space="preserve">Kontrola wg art. 23 ustawy przeprowadzona</t>
  </si>
  <si>
    <t xml:space="preserve">[z DTR Sek.5 — data]</t>
  </si>
  <si>
    <t xml:space="preserve">[z DTR Sek.5 — STATUS]</t>
  </si>
  <si>
    <t xml:space="preserve">Art. 23 Ustawy 29.08.2014</t>
  </si>
  <si>
    <t xml:space="preserve">Protokół zarejestrowany w Centralnym Rejestrze e-CR</t>
  </si>
  <si>
    <t xml:space="preserve">[z DTR Sek.5 — numer]</t>
  </si>
  <si>
    <t xml:space="preserve">[z DTR Sek.5 — TAK/NIE]</t>
  </si>
  <si>
    <t xml:space="preserve">Rozp. MRiT 14.03.2023 Dz.U. 2023 poz. 729</t>
  </si>
  <si>
    <t xml:space="preserve">Termin kolejnej kontroli</t>
  </si>
  <si>
    <t xml:space="preserve">[z DTR Sek.5 — dni do terminu]</t>
  </si>
  <si>
    <t xml:space="preserve">Art. 23 ust. 1 ustawy</t>
  </si>
  <si>
    <t xml:space="preserve">Dobór mocy do potrzeb budynku oceniony</t>
  </si>
  <si>
    <t xml:space="preserve">[z DTR Sek.5]</t>
  </si>
  <si>
    <t xml:space="preserve">[ADEKWATNA/PRZEWYMIAR./NIEDOWYMIAR.]</t>
  </si>
  <si>
    <t xml:space="preserve">Art. 23 ust. 3 ustawy</t>
  </si>
  <si>
    <t xml:space="preserve">Zdolność do optymalizacji oceniona</t>
  </si>
  <si>
    <t xml:space="preserve">[DOBRA/CZĘŚCIOWA/BRAK]</t>
  </si>
  <si>
    <t xml:space="preserve">Wyłączenie z kontroli (ESCO/operator)?</t>
  </si>
  <si>
    <t xml:space="preserve">[z Etap1 Z-09]</t>
  </si>
  <si>
    <t xml:space="preserve">[TAK=zwolniony / NIE=obowiązkowa]</t>
  </si>
  <si>
    <t xml:space="preserve">Art. 23 ust. 4 ustawy</t>
  </si>
  <si>
    <t xml:space="preserve">CWU w zakresie kontroli?</t>
  </si>
  <si>
    <t xml:space="preserve">[z Etap1 Z-08]</t>
  </si>
  <si>
    <t xml:space="preserve">[TAK/NIE]</t>
  </si>
  <si>
    <t xml:space="preserve">Rozp. MRiT — wzór protokołu</t>
  </si>
  <si>
    <t xml:space="preserve">  ENESA  ·  A-EnMS-HTG-01  ·  Paszport Urządzenia Grzewczego  ·  Wersja 3.1</t>
  </si>
  <si>
    <t xml:space="preserve">ENESA  ·  SYSTEM PROMPT — AGENT 1  ·  HTG</t>
  </si>
  <si>
    <t xml:space="preserve">Skopiuj od wiersza 5 do ###DANE_KOMPLETNE### do konfiguracji Agenta 1</t>
  </si>
  <si>
    <t xml:space="preserve">⚠️  Mapowanie JSON — patrz wiersze po ###DANE_KOMPLETNE###</t>
  </si>
  <si>
    <t xml:space="preserve">── POCZĄTEK SYSTEM PROMPTU ──</t>
  </si>
  <si>
    <t xml:space="preserve">Jesteś Agentem 1 (Scout) ENESA — inwentaryzujesz URZĄDZENIE GRZEWCZE (kocioł / pompa ciepła / węzeł).</t>
  </si>
  <si>
    <t xml:space="preserve">Rozmawiasz z pracownikiem UR lub Energy Managerem na miejscu przy urządzeniu.</t>
  </si>
  <si>
    <t xml:space="preserve"> === PYTANIE ZEROWE — KLASYFIKACJA ===</t>
  </si>
  <si>
    <t xml:space="preserve">Zacznij zawsze od P-00: zapytaj jaki typ urządzenia jest przed rozmówcą.</t>
  </si>
  <si>
    <t xml:space="preserve">A) Kocioł gazowy · B) Kocioł olejowy · C) Kocioł biomasa/węgiel</t>
  </si>
  <si>
    <t xml:space="preserve">D) Pompa ciepła · E) Węzeł cieplny/wymiennik · F) Kocioł elektryczny</t>
  </si>
  <si>
    <t xml:space="preserve">G) Nie jestem pewien — opisz co widzisz</t>
  </si>
  <si>
    <t xml:space="preserve">Ścieżka A/B/F → pytania Bloku A1-A5 (kotły — 32 pytania).</t>
  </si>
  <si>
    <t xml:space="preserve">Ścieżka D → pytania D-01 do D-08 (pompa ciepła).</t>
  </si>
  <si>
    <t xml:space="preserve">Ścieżka E → pytania E-01 do E-06 (węzeł cieplny).</t>
  </si>
  <si>
    <t xml:space="preserve"> === BLOK A1 — IDENTYFIKACJA (A-01 do A-07) ===</t>
  </si>
  <si>
    <t xml:space="preserve">Tabliczka znamionowa — producent, model, rok, numer seryjny, lokalizacja, strefy, DTR.</t>
  </si>
  <si>
    <t xml:space="preserve"> === BLOK A2 — TYP I TECHNOLOGIA (A-08 do A-12) ===</t>
  </si>
  <si>
    <t xml:space="preserve">KLUCZOWE A-08: Czy kocioł jest KONDENSACYJNY?</t>
  </si>
  <si>
    <t xml:space="preserve">Sygnał kondensacyjny: syfon/odpływ kondensatu pod kotłem, plastikowy komin (nierdzewny PPs).</t>
  </si>
  <si>
    <t xml:space="preserve">Konwencjonalny: brak syfonu, ciepły komin (nie można trzymać ręki).</t>
  </si>
  <si>
    <t xml:space="preserve">A-09: liczba kotłów. A-10: kaskada. A-11: modulacja palnika. A-12: ocieplenie komina.</t>
  </si>
  <si>
    <t xml:space="preserve"> === BLOK A3 — TABLICZKA ZNAMIONOWA (A-13 do A-19) ===</t>
  </si>
  <si>
    <t xml:space="preserve">★ NAJWAŻNIEJSZY BLOK — przepisz wartości z tabliczki:</t>
  </si>
  <si>
    <t xml:space="preserve">A-13: moc nominalna Q_n [kW] — absolutnie kluczowa.</t>
  </si>
  <si>
    <t xml:space="preserve">A-14: moc minimalna. A-15: sprawność deklarowana. A-16: temp. zasilania.</t>
  </si>
  <si>
    <t xml:space="preserve">A-17: temp. powrotu minimalna. A-18: ciśnienie max. A-19: typ paliwa.</t>
  </si>
  <si>
    <t xml:space="preserve"> === BLOK A4 — PARAMETRY EKSPLOATACYJNE (A-20 do A-27) ===</t>
  </si>
  <si>
    <t xml:space="preserve">Ze sterownika kotła i mierników:</t>
  </si>
  <si>
    <t xml:space="preserve">A-20: temp. zasilania teraz. A-21: temp. powrotu teraz. A-22/A-23: motogodziny palnika.</t>
  </si>
  <si>
    <t xml:space="preserve">A-24/A-25: ciepłomierz (GJ lub MWh/rok). A-26: nastawa set-point. A-27: regulacja pogodowa.</t>
  </si>
  <si>
    <t xml:space="preserve"> === BLOK A5 — STAN TECHNICZNY (A-28 do A-32) ===</t>
  </si>
  <si>
    <t xml:space="preserve">A-28: ocena 1-5. A-29: wycieki. A-30: izolacja. A-31: sadza/korozja. A-32: data przeglądu.</t>
  </si>
  <si>
    <t xml:space="preserve"> === PO ZAKOŃCZENIU ===</t>
  </si>
  <si>
    <t xml:space="preserve">Podziękuj i wpisz: ###DANE_KOMPLETNE###</t>
  </si>
  <si>
    <t xml:space="preserve"> === MAPOWANIE JSON ===</t>
  </si>
  <si>
    <t xml:space="preserve">{</t>
  </si>
  <si>
    <t xml:space="preserve">  'device_type': 'P-00',</t>
  </si>
  <si>
    <t xml:space="preserve">  'manufacturer': 'A-01',  'model': 'A-02',  'year_of_manufacture': 'A-03',</t>
  </si>
  <si>
    <t xml:space="preserve">  'serial_number': 'A-04', 'location': 'A-05', 'zone_served': 'A-06',</t>
  </si>
  <si>
    <t xml:space="preserve">  'dtr_available': 'A-07', 'is_condensing': 'A-08',</t>
  </si>
  <si>
    <t xml:space="preserve">  'boilers_in_system': 'A-09', 'has_cascade_controller': 'A-10',</t>
  </si>
  <si>
    <t xml:space="preserve">  'has_modulating_burner': 'A-11', 'flue_insulated': 'A-12',</t>
  </si>
  <si>
    <t xml:space="preserve">  'power_nominal_kw': 'A-13', 'power_min_kw': 'A-14',</t>
  </si>
  <si>
    <t xml:space="preserve">  'efficiency_nominal_pct': 'A-15', 'temp_supply_nominal': 'A-16',</t>
  </si>
  <si>
    <t xml:space="preserve">  'temp_return_min': 'A-17', 'pressure_max_bar': 'A-18', 'fuel_type': 'A-19',</t>
  </si>
  <si>
    <t xml:space="preserve">  'temp_supply_actual': 'A-20', 'temp_return_actual': 'A-21',</t>
  </si>
  <si>
    <t xml:space="preserve">  'has_burner_hours': 'A-22', 'burner_hours_year': 'A-23',</t>
  </si>
  <si>
    <t xml:space="preserve">  'has_heat_meter': 'A-24', 'heat_production_mwh': 'A-25',</t>
  </si>
  <si>
    <t xml:space="preserve">  'setpoint_temp': 'A-26', 'has_weather_compensation': 'A-27',</t>
  </si>
  <si>
    <t xml:space="preserve">  'condition_score': 'A-28', 'has_leaks': 'A-29',</t>
  </si>
  <si>
    <t xml:space="preserve">  'insulation_condition': 'A-30', 'soot_corrosion': 'A-31',</t>
  </si>
  <si>
    <t xml:space="preserve">  'last_service_date': 'A-32',</t>
  </si>
  <si>
    <t xml:space="preserve">  'hp_type': 'D-03', 'cop_nominal': 'D-06',</t>
  </si>
  <si>
    <t xml:space="preserve">  'hx_type': 'E-01', 'hx_power_kw': 'E-03'</t>
  </si>
  <si>
    <t xml:space="preserve">}</t>
  </si>
  <si>
    <t xml:space="preserve">── KONIEC SYSTEM PROMPTU ──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</si>
</sst>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9"/>
      <color rgb="FF1A3A5C"/>
      <name val="Arial"/>
      <family val="0"/>
      <charset val="1"/>
    </font>
    <font>
      <sz val="9"/>
      <color rgb="FF1A3A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sz val="10"/>
      <color rgb="FF1A3A5C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E87722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1A7A6E"/>
      <name val="Arial"/>
      <family val="0"/>
      <charset val="1"/>
    </font>
    <font>
      <b val="true"/>
      <sz val="10"/>
      <color rgb="FF1A7A6E"/>
      <name val="Arial"/>
      <family val="0"/>
      <charset val="1"/>
    </font>
    <font>
      <sz val="10"/>
      <color rgb="FF000080"/>
      <name val="Arial"/>
      <family val="0"/>
      <charset val="1"/>
    </font>
    <font>
      <b val="true"/>
      <i val="true"/>
      <sz val="10"/>
      <color rgb="FFC0392B"/>
      <name val="Arial"/>
      <family val="0"/>
      <charset val="1"/>
    </font>
    <font>
      <i val="true"/>
      <sz val="10"/>
      <color rgb="FFC0392B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0"/>
      <color rgb="FF1E7B34"/>
      <name val="Arial"/>
      <family val="0"/>
      <charset val="1"/>
    </font>
    <font>
      <sz val="9"/>
      <color rgb="FF1A1A2E"/>
      <name val="Courier New"/>
      <family val="0"/>
      <charset val="1"/>
    </font>
    <font>
      <sz val="9"/>
      <name val="Courier New"/>
      <family val="0"/>
      <charset val="1"/>
    </font>
    <font>
      <b val="true"/>
      <sz val="10"/>
      <color rgb="FFE87722"/>
      <name val="Courier New"/>
      <family val="0"/>
      <charset val="1"/>
    </font>
    <font>
      <b val="true"/>
      <sz val="10"/>
      <color rgb="FFC0392B"/>
      <name val="Courier New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E87722"/>
        <bgColor rgb="FFFF9900"/>
      </patternFill>
    </fill>
    <fill>
      <patternFill patternType="solid">
        <fgColor rgb="FFFCE8D5"/>
        <bgColor rgb="FFFFF2CC"/>
      </patternFill>
    </fill>
    <fill>
      <patternFill patternType="solid">
        <fgColor rgb="FFFFF2CC"/>
        <bgColor rgb="FFFCE8D5"/>
      </patternFill>
    </fill>
    <fill>
      <patternFill patternType="solid">
        <fgColor rgb="FFC0392B"/>
        <bgColor rgb="FF993366"/>
      </patternFill>
    </fill>
    <fill>
      <patternFill patternType="solid">
        <fgColor rgb="FFFFFFFF"/>
        <bgColor rgb="FFFEF9E7"/>
      </patternFill>
    </fill>
    <fill>
      <patternFill patternType="solid">
        <fgColor rgb="FFF4F4F4"/>
        <bgColor rgb="FFF0F4F8"/>
      </patternFill>
    </fill>
    <fill>
      <patternFill patternType="solid">
        <fgColor rgb="FF1A3A5C"/>
        <bgColor rgb="FF333399"/>
      </patternFill>
    </fill>
    <fill>
      <patternFill patternType="solid">
        <fgColor rgb="FF2E6DA4"/>
        <bgColor rgb="FF1A7A6E"/>
      </patternFill>
    </fill>
    <fill>
      <patternFill patternType="solid">
        <fgColor rgb="FF1A7A6E"/>
        <bgColor rgb="FF008080"/>
      </patternFill>
    </fill>
    <fill>
      <patternFill patternType="solid">
        <fgColor rgb="FF6C3483"/>
        <bgColor rgb="FF993366"/>
      </patternFill>
    </fill>
    <fill>
      <patternFill patternType="solid">
        <fgColor rgb="FFFADBD8"/>
        <bgColor rgb="FFFCE8D5"/>
      </patternFill>
    </fill>
    <fill>
      <patternFill patternType="solid">
        <fgColor rgb="FFEBF3FB"/>
        <bgColor rgb="FFF0F4F8"/>
      </patternFill>
    </fill>
    <fill>
      <patternFill patternType="solid">
        <fgColor rgb="FFD0EEEB"/>
        <bgColor rgb="FFD9F0E0"/>
      </patternFill>
    </fill>
    <fill>
      <patternFill patternType="solid">
        <fgColor rgb="FFF0F4F8"/>
        <bgColor rgb="FFF4F4F4"/>
      </patternFill>
    </fill>
    <fill>
      <patternFill patternType="solid">
        <fgColor rgb="FFD6E4F0"/>
        <bgColor rgb="FFD0EEEB"/>
      </patternFill>
    </fill>
    <fill>
      <patternFill patternType="solid">
        <fgColor rgb="FFFEF9E7"/>
        <bgColor rgb="FFF4F4F4"/>
      </patternFill>
    </fill>
    <fill>
      <patternFill patternType="solid">
        <fgColor rgb="FFD9F0E0"/>
        <bgColor rgb="FFD0EEEB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E87722"/>
      </left>
      <right style="thin">
        <color rgb="FFE87722"/>
      </right>
      <top style="thin">
        <color rgb="FFE87722"/>
      </top>
      <bottom style="thin">
        <color rgb="FFE87722"/>
      </bottom>
      <diagonal/>
    </border>
    <border diagonalUp="false" diagonalDown="false">
      <left style="thin">
        <color rgb="FF1A3A5C"/>
      </left>
      <right style="thin">
        <color rgb="FF1A3A5C"/>
      </right>
      <top style="thin">
        <color rgb="FF1A3A5C"/>
      </top>
      <bottom style="thin">
        <color rgb="FF1A3A5C"/>
      </bottom>
      <diagonal/>
    </border>
    <border diagonalUp="false" diagonalDown="false"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1A7A6E"/>
      <rgbColor rgb="FFCCCCCC"/>
      <rgbColor rgb="FF7F7F7F"/>
      <rgbColor rgb="FF9999FF"/>
      <rgbColor rgb="FF6C3483"/>
      <rgbColor rgb="FFFFF2CC"/>
      <rgbColor rgb="FFD0EEEB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9F0E0"/>
      <rgbColor rgb="FFFEF9E7"/>
      <rgbColor rgb="FFF0F4F8"/>
      <rgbColor rgb="FFFCE8D5"/>
      <rgbColor rgb="FFF4F4F4"/>
      <rgbColor rgb="FFFADBD8"/>
      <rgbColor rgb="FF3366FF"/>
      <rgbColor rgb="FF33CCCC"/>
      <rgbColor rgb="FF99CC00"/>
      <rgbColor rgb="FFFFCC00"/>
      <rgbColor rgb="FFFF9900"/>
      <rgbColor rgb="FFE87722"/>
      <rgbColor rgb="FF666699"/>
      <rgbColor rgb="FF969696"/>
      <rgbColor rgb="FF1A3A5C"/>
      <rgbColor rgb="FF339966"/>
      <rgbColor rgb="FF003300"/>
      <rgbColor rgb="FF333300"/>
      <rgbColor rgb="FFC0392B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7722"/>
    <pageSetUpPr fitToPage="false"/>
  </sheetPr>
  <dimension ref="A1:E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52"/>
    <col collapsed="false" customWidth="true" hidden="false" outlineLevel="0" max="3" min="3" style="1" width="28"/>
    <col collapsed="false" customWidth="true" hidden="false" outlineLevel="0" max="4" min="4" style="1" width="10"/>
    <col collapsed="false" customWidth="true" hidden="false" outlineLevel="0" max="5" min="5" style="1" width="42"/>
  </cols>
  <sheetData>
    <row r="1" customFormat="false" ht="42" hidden="false" customHeight="true" outlineLevel="0" collapsed="false">
      <c r="A1" s="2" t="s">
        <v>0</v>
      </c>
      <c r="B1" s="2"/>
      <c r="C1" s="2"/>
      <c r="D1" s="2"/>
      <c r="E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</row>
    <row r="3" customFormat="false" ht="19.5" hidden="false" customHeight="true" outlineLevel="0" collapsed="false">
      <c r="A3" s="4" t="s">
        <v>2</v>
      </c>
      <c r="B3" s="5"/>
      <c r="C3" s="4" t="s">
        <v>3</v>
      </c>
      <c r="D3" s="5"/>
      <c r="E3" s="4" t="s">
        <v>4</v>
      </c>
    </row>
    <row r="4" customFormat="false" ht="19.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</row>
    <row r="5" customFormat="false" ht="21.75" hidden="false" customHeight="true" outlineLevel="0" collapsed="false">
      <c r="A5" s="7" t="s">
        <v>10</v>
      </c>
      <c r="B5" s="7"/>
      <c r="C5" s="7"/>
      <c r="D5" s="7"/>
      <c r="E5" s="7"/>
    </row>
    <row r="6" customFormat="false" ht="72" hidden="false" customHeight="true" outlineLevel="0" collapsed="false">
      <c r="A6" s="8" t="s">
        <v>11</v>
      </c>
      <c r="B6" s="9" t="s">
        <v>12</v>
      </c>
      <c r="C6" s="10"/>
      <c r="D6" s="11"/>
      <c r="E6" s="12" t="s">
        <v>13</v>
      </c>
    </row>
    <row r="7" customFormat="false" ht="21.75" hidden="false" customHeight="true" outlineLevel="0" collapsed="false">
      <c r="A7" s="13" t="s">
        <v>14</v>
      </c>
      <c r="B7" s="13"/>
      <c r="C7" s="13"/>
      <c r="D7" s="13"/>
      <c r="E7" s="13"/>
    </row>
    <row r="8" customFormat="false" ht="21.75" hidden="false" customHeight="true" outlineLevel="0" collapsed="false">
      <c r="A8" s="14" t="s">
        <v>15</v>
      </c>
      <c r="B8" s="14"/>
      <c r="C8" s="14"/>
      <c r="D8" s="14"/>
      <c r="E8" s="14"/>
    </row>
    <row r="9" customFormat="false" ht="31.5" hidden="false" customHeight="true" outlineLevel="0" collapsed="false">
      <c r="A9" s="8" t="s">
        <v>16</v>
      </c>
      <c r="B9" s="9" t="s">
        <v>17</v>
      </c>
      <c r="C9" s="10"/>
      <c r="D9" s="11"/>
      <c r="E9" s="12" t="s">
        <v>18</v>
      </c>
    </row>
    <row r="10" customFormat="false" ht="31.5" hidden="false" customHeight="true" outlineLevel="0" collapsed="false">
      <c r="A10" s="8" t="s">
        <v>19</v>
      </c>
      <c r="B10" s="9" t="s">
        <v>20</v>
      </c>
      <c r="C10" s="10"/>
      <c r="D10" s="11"/>
      <c r="E10" s="12" t="s">
        <v>21</v>
      </c>
    </row>
    <row r="11" customFormat="false" ht="31.5" hidden="false" customHeight="true" outlineLevel="0" collapsed="false">
      <c r="A11" s="8" t="s">
        <v>22</v>
      </c>
      <c r="B11" s="9" t="s">
        <v>23</v>
      </c>
      <c r="C11" s="10"/>
      <c r="D11" s="11" t="s">
        <v>24</v>
      </c>
      <c r="E11" s="12" t="s">
        <v>25</v>
      </c>
    </row>
    <row r="12" customFormat="false" ht="31.5" hidden="false" customHeight="true" outlineLevel="0" collapsed="false">
      <c r="A12" s="8" t="s">
        <v>26</v>
      </c>
      <c r="B12" s="9" t="s">
        <v>27</v>
      </c>
      <c r="C12" s="10"/>
      <c r="D12" s="11"/>
      <c r="E12" s="12" t="s">
        <v>28</v>
      </c>
    </row>
    <row r="13" customFormat="false" ht="31.5" hidden="false" customHeight="true" outlineLevel="0" collapsed="false">
      <c r="A13" s="8" t="s">
        <v>29</v>
      </c>
      <c r="B13" s="9" t="s">
        <v>30</v>
      </c>
      <c r="C13" s="10"/>
      <c r="D13" s="11"/>
      <c r="E13" s="12" t="s">
        <v>31</v>
      </c>
    </row>
    <row r="14" customFormat="false" ht="31.5" hidden="false" customHeight="true" outlineLevel="0" collapsed="false">
      <c r="A14" s="8" t="s">
        <v>32</v>
      </c>
      <c r="B14" s="9" t="s">
        <v>33</v>
      </c>
      <c r="C14" s="10"/>
      <c r="D14" s="11"/>
      <c r="E14" s="12" t="s">
        <v>34</v>
      </c>
    </row>
    <row r="15" customFormat="false" ht="31.5" hidden="false" customHeight="true" outlineLevel="0" collapsed="false">
      <c r="A15" s="8" t="s">
        <v>35</v>
      </c>
      <c r="B15" s="9" t="s">
        <v>36</v>
      </c>
      <c r="C15" s="10"/>
      <c r="D15" s="11"/>
      <c r="E15" s="12" t="s">
        <v>37</v>
      </c>
    </row>
    <row r="16" customFormat="false" ht="21.75" hidden="false" customHeight="true" outlineLevel="0" collapsed="false">
      <c r="A16" s="15" t="s">
        <v>38</v>
      </c>
      <c r="B16" s="15"/>
      <c r="C16" s="15"/>
      <c r="D16" s="15"/>
      <c r="E16" s="15"/>
    </row>
    <row r="17" customFormat="false" ht="31.5" hidden="false" customHeight="true" outlineLevel="0" collapsed="false">
      <c r="A17" s="8" t="s">
        <v>39</v>
      </c>
      <c r="B17" s="9" t="s">
        <v>40</v>
      </c>
      <c r="C17" s="10"/>
      <c r="D17" s="11"/>
      <c r="E17" s="12" t="s">
        <v>41</v>
      </c>
    </row>
    <row r="18" customFormat="false" ht="31.5" hidden="false" customHeight="true" outlineLevel="0" collapsed="false">
      <c r="A18" s="8" t="s">
        <v>42</v>
      </c>
      <c r="B18" s="9" t="s">
        <v>43</v>
      </c>
      <c r="C18" s="10"/>
      <c r="D18" s="11" t="s">
        <v>44</v>
      </c>
      <c r="E18" s="12" t="s">
        <v>45</v>
      </c>
    </row>
    <row r="19" customFormat="false" ht="31.5" hidden="false" customHeight="true" outlineLevel="0" collapsed="false">
      <c r="A19" s="8" t="s">
        <v>46</v>
      </c>
      <c r="B19" s="9" t="s">
        <v>47</v>
      </c>
      <c r="C19" s="10"/>
      <c r="D19" s="11"/>
      <c r="E19" s="12" t="s">
        <v>48</v>
      </c>
    </row>
    <row r="20" customFormat="false" ht="31.5" hidden="false" customHeight="true" outlineLevel="0" collapsed="false">
      <c r="A20" s="8" t="s">
        <v>49</v>
      </c>
      <c r="B20" s="9" t="s">
        <v>50</v>
      </c>
      <c r="C20" s="10"/>
      <c r="D20" s="11"/>
      <c r="E20" s="12" t="s">
        <v>51</v>
      </c>
    </row>
    <row r="21" customFormat="false" ht="31.5" hidden="false" customHeight="true" outlineLevel="0" collapsed="false">
      <c r="A21" s="8" t="s">
        <v>52</v>
      </c>
      <c r="B21" s="9" t="s">
        <v>53</v>
      </c>
      <c r="C21" s="10"/>
      <c r="D21" s="11"/>
      <c r="E21" s="12" t="s">
        <v>54</v>
      </c>
    </row>
    <row r="22" customFormat="false" ht="21.75" hidden="false" customHeight="true" outlineLevel="0" collapsed="false">
      <c r="A22" s="16" t="s">
        <v>55</v>
      </c>
      <c r="B22" s="16"/>
      <c r="C22" s="16"/>
      <c r="D22" s="16"/>
      <c r="E22" s="16"/>
    </row>
    <row r="23" customFormat="false" ht="24" hidden="false" customHeight="true" outlineLevel="0" collapsed="false">
      <c r="A23" s="17" t="s">
        <v>56</v>
      </c>
      <c r="B23" s="17"/>
      <c r="C23" s="17"/>
      <c r="D23" s="17"/>
      <c r="E23" s="17"/>
    </row>
    <row r="24" customFormat="false" ht="31.5" hidden="false" customHeight="true" outlineLevel="0" collapsed="false">
      <c r="A24" s="8" t="s">
        <v>57</v>
      </c>
      <c r="B24" s="9" t="s">
        <v>58</v>
      </c>
      <c r="C24" s="10"/>
      <c r="D24" s="11" t="s">
        <v>59</v>
      </c>
      <c r="E24" s="12" t="s">
        <v>60</v>
      </c>
    </row>
    <row r="25" customFormat="false" ht="31.5" hidden="false" customHeight="true" outlineLevel="0" collapsed="false">
      <c r="A25" s="8" t="s">
        <v>61</v>
      </c>
      <c r="B25" s="9" t="s">
        <v>62</v>
      </c>
      <c r="C25" s="10"/>
      <c r="D25" s="11" t="s">
        <v>59</v>
      </c>
      <c r="E25" s="12" t="s">
        <v>63</v>
      </c>
    </row>
    <row r="26" customFormat="false" ht="31.5" hidden="false" customHeight="true" outlineLevel="0" collapsed="false">
      <c r="A26" s="8" t="s">
        <v>64</v>
      </c>
      <c r="B26" s="9" t="s">
        <v>65</v>
      </c>
      <c r="C26" s="10"/>
      <c r="D26" s="11" t="s">
        <v>66</v>
      </c>
      <c r="E26" s="12" t="s">
        <v>67</v>
      </c>
    </row>
    <row r="27" customFormat="false" ht="31.5" hidden="false" customHeight="true" outlineLevel="0" collapsed="false">
      <c r="A27" s="8" t="s">
        <v>68</v>
      </c>
      <c r="B27" s="9" t="s">
        <v>69</v>
      </c>
      <c r="C27" s="10"/>
      <c r="D27" s="11" t="s">
        <v>70</v>
      </c>
      <c r="E27" s="12" t="s">
        <v>71</v>
      </c>
    </row>
    <row r="28" customFormat="false" ht="31.5" hidden="false" customHeight="true" outlineLevel="0" collapsed="false">
      <c r="A28" s="8" t="s">
        <v>72</v>
      </c>
      <c r="B28" s="9" t="s">
        <v>73</v>
      </c>
      <c r="C28" s="10"/>
      <c r="D28" s="11" t="s">
        <v>70</v>
      </c>
      <c r="E28" s="12" t="s">
        <v>74</v>
      </c>
    </row>
    <row r="29" customFormat="false" ht="31.5" hidden="false" customHeight="true" outlineLevel="0" collapsed="false">
      <c r="A29" s="8" t="s">
        <v>75</v>
      </c>
      <c r="B29" s="9" t="s">
        <v>76</v>
      </c>
      <c r="C29" s="10"/>
      <c r="D29" s="11" t="s">
        <v>77</v>
      </c>
      <c r="E29" s="12" t="s">
        <v>78</v>
      </c>
    </row>
    <row r="30" customFormat="false" ht="31.5" hidden="false" customHeight="true" outlineLevel="0" collapsed="false">
      <c r="A30" s="8" t="s">
        <v>79</v>
      </c>
      <c r="B30" s="9" t="s">
        <v>80</v>
      </c>
      <c r="C30" s="10"/>
      <c r="D30" s="11"/>
      <c r="E30" s="12" t="s">
        <v>81</v>
      </c>
    </row>
    <row r="31" customFormat="false" ht="21.75" hidden="false" customHeight="true" outlineLevel="0" collapsed="false">
      <c r="A31" s="18" t="s">
        <v>82</v>
      </c>
      <c r="B31" s="18"/>
      <c r="C31" s="18"/>
      <c r="D31" s="18"/>
      <c r="E31" s="18"/>
    </row>
    <row r="32" customFormat="false" ht="31.5" hidden="false" customHeight="true" outlineLevel="0" collapsed="false">
      <c r="A32" s="8" t="s">
        <v>83</v>
      </c>
      <c r="B32" s="9" t="s">
        <v>84</v>
      </c>
      <c r="C32" s="10"/>
      <c r="D32" s="11" t="s">
        <v>70</v>
      </c>
      <c r="E32" s="12" t="s">
        <v>85</v>
      </c>
    </row>
    <row r="33" customFormat="false" ht="31.5" hidden="false" customHeight="true" outlineLevel="0" collapsed="false">
      <c r="A33" s="8" t="s">
        <v>86</v>
      </c>
      <c r="B33" s="9" t="s">
        <v>87</v>
      </c>
      <c r="C33" s="10"/>
      <c r="D33" s="11" t="s">
        <v>70</v>
      </c>
      <c r="E33" s="12" t="s">
        <v>88</v>
      </c>
    </row>
    <row r="34" customFormat="false" ht="31.5" hidden="false" customHeight="true" outlineLevel="0" collapsed="false">
      <c r="A34" s="8" t="s">
        <v>89</v>
      </c>
      <c r="B34" s="9" t="s">
        <v>90</v>
      </c>
      <c r="C34" s="10"/>
      <c r="D34" s="11" t="s">
        <v>91</v>
      </c>
      <c r="E34" s="12" t="s">
        <v>92</v>
      </c>
    </row>
    <row r="35" customFormat="false" ht="31.5" hidden="false" customHeight="true" outlineLevel="0" collapsed="false">
      <c r="A35" s="8" t="s">
        <v>93</v>
      </c>
      <c r="B35" s="9" t="s">
        <v>94</v>
      </c>
      <c r="C35" s="10"/>
      <c r="D35" s="11" t="s">
        <v>91</v>
      </c>
      <c r="E35" s="12" t="s">
        <v>95</v>
      </c>
    </row>
    <row r="36" customFormat="false" ht="31.5" hidden="false" customHeight="true" outlineLevel="0" collapsed="false">
      <c r="A36" s="8" t="s">
        <v>96</v>
      </c>
      <c r="B36" s="9" t="s">
        <v>97</v>
      </c>
      <c r="C36" s="10"/>
      <c r="D36" s="11"/>
      <c r="E36" s="12" t="s">
        <v>98</v>
      </c>
    </row>
    <row r="37" customFormat="false" ht="31.5" hidden="false" customHeight="true" outlineLevel="0" collapsed="false">
      <c r="A37" s="8" t="s">
        <v>99</v>
      </c>
      <c r="B37" s="9" t="s">
        <v>100</v>
      </c>
      <c r="C37" s="10"/>
      <c r="D37" s="11" t="s">
        <v>101</v>
      </c>
      <c r="E37" s="12" t="s">
        <v>102</v>
      </c>
    </row>
    <row r="38" customFormat="false" ht="31.5" hidden="false" customHeight="true" outlineLevel="0" collapsed="false">
      <c r="A38" s="8" t="s">
        <v>103</v>
      </c>
      <c r="B38" s="9" t="s">
        <v>104</v>
      </c>
      <c r="C38" s="10"/>
      <c r="D38" s="11" t="s">
        <v>70</v>
      </c>
      <c r="E38" s="12" t="s">
        <v>105</v>
      </c>
    </row>
    <row r="39" customFormat="false" ht="31.5" hidden="false" customHeight="true" outlineLevel="0" collapsed="false">
      <c r="A39" s="8" t="s">
        <v>106</v>
      </c>
      <c r="B39" s="9" t="s">
        <v>107</v>
      </c>
      <c r="C39" s="10"/>
      <c r="D39" s="11"/>
      <c r="E39" s="12" t="s">
        <v>108</v>
      </c>
    </row>
    <row r="40" customFormat="false" ht="21.75" hidden="false" customHeight="true" outlineLevel="0" collapsed="false">
      <c r="A40" s="19" t="s">
        <v>109</v>
      </c>
      <c r="B40" s="19"/>
      <c r="C40" s="19"/>
      <c r="D40" s="19"/>
      <c r="E40" s="19"/>
    </row>
    <row r="41" customFormat="false" ht="31.5" hidden="false" customHeight="true" outlineLevel="0" collapsed="false">
      <c r="A41" s="8" t="s">
        <v>110</v>
      </c>
      <c r="B41" s="9" t="s">
        <v>111</v>
      </c>
      <c r="C41" s="10"/>
      <c r="D41" s="11"/>
      <c r="E41" s="12" t="s">
        <v>112</v>
      </c>
    </row>
    <row r="42" customFormat="false" ht="31.5" hidden="false" customHeight="true" outlineLevel="0" collapsed="false">
      <c r="A42" s="8" t="s">
        <v>113</v>
      </c>
      <c r="B42" s="9" t="s">
        <v>114</v>
      </c>
      <c r="C42" s="10"/>
      <c r="D42" s="11"/>
      <c r="E42" s="12" t="s">
        <v>115</v>
      </c>
    </row>
    <row r="43" customFormat="false" ht="31.5" hidden="false" customHeight="true" outlineLevel="0" collapsed="false">
      <c r="A43" s="8" t="s">
        <v>116</v>
      </c>
      <c r="B43" s="9" t="s">
        <v>117</v>
      </c>
      <c r="C43" s="10"/>
      <c r="D43" s="11"/>
      <c r="E43" s="12" t="s">
        <v>118</v>
      </c>
    </row>
    <row r="44" customFormat="false" ht="31.5" hidden="false" customHeight="true" outlineLevel="0" collapsed="false">
      <c r="A44" s="8" t="s">
        <v>119</v>
      </c>
      <c r="B44" s="9" t="s">
        <v>120</v>
      </c>
      <c r="C44" s="10"/>
      <c r="D44" s="11"/>
      <c r="E44" s="12" t="s">
        <v>121</v>
      </c>
    </row>
    <row r="45" customFormat="false" ht="31.5" hidden="false" customHeight="true" outlineLevel="0" collapsed="false">
      <c r="A45" s="8" t="s">
        <v>122</v>
      </c>
      <c r="B45" s="9" t="s">
        <v>123</v>
      </c>
      <c r="C45" s="10"/>
      <c r="D45" s="11"/>
      <c r="E45" s="12" t="s">
        <v>124</v>
      </c>
    </row>
    <row r="46" customFormat="false" ht="21.75" hidden="false" customHeight="true" outlineLevel="0" collapsed="false">
      <c r="A46" s="20" t="s">
        <v>125</v>
      </c>
      <c r="B46" s="20"/>
      <c r="C46" s="20"/>
      <c r="D46" s="20"/>
      <c r="E46" s="20"/>
    </row>
    <row r="47" customFormat="false" ht="31.5" hidden="false" customHeight="true" outlineLevel="0" collapsed="false">
      <c r="A47" s="8" t="s">
        <v>126</v>
      </c>
      <c r="B47" s="9" t="s">
        <v>127</v>
      </c>
      <c r="C47" s="10"/>
      <c r="D47" s="11"/>
      <c r="E47" s="12" t="s">
        <v>128</v>
      </c>
    </row>
    <row r="48" customFormat="false" ht="31.5" hidden="false" customHeight="true" outlineLevel="0" collapsed="false">
      <c r="A48" s="8" t="s">
        <v>129</v>
      </c>
      <c r="B48" s="9" t="s">
        <v>23</v>
      </c>
      <c r="C48" s="10"/>
      <c r="D48" s="11" t="s">
        <v>24</v>
      </c>
      <c r="E48" s="12" t="s">
        <v>130</v>
      </c>
    </row>
    <row r="49" customFormat="false" ht="31.5" hidden="false" customHeight="true" outlineLevel="0" collapsed="false">
      <c r="A49" s="8" t="s">
        <v>131</v>
      </c>
      <c r="B49" s="9" t="s">
        <v>132</v>
      </c>
      <c r="C49" s="10"/>
      <c r="D49" s="11"/>
      <c r="E49" s="12" t="s">
        <v>133</v>
      </c>
    </row>
    <row r="50" customFormat="false" ht="31.5" hidden="false" customHeight="true" outlineLevel="0" collapsed="false">
      <c r="A50" s="8" t="s">
        <v>134</v>
      </c>
      <c r="B50" s="9" t="s">
        <v>135</v>
      </c>
      <c r="C50" s="10"/>
      <c r="D50" s="11" t="s">
        <v>59</v>
      </c>
      <c r="E50" s="12" t="s">
        <v>136</v>
      </c>
    </row>
    <row r="51" customFormat="false" ht="31.5" hidden="false" customHeight="true" outlineLevel="0" collapsed="false">
      <c r="A51" s="8" t="s">
        <v>137</v>
      </c>
      <c r="B51" s="9" t="s">
        <v>138</v>
      </c>
      <c r="C51" s="10"/>
      <c r="D51" s="11" t="s">
        <v>59</v>
      </c>
      <c r="E51" s="12" t="s">
        <v>139</v>
      </c>
    </row>
    <row r="52" customFormat="false" ht="31.5" hidden="false" customHeight="true" outlineLevel="0" collapsed="false">
      <c r="A52" s="8" t="s">
        <v>140</v>
      </c>
      <c r="B52" s="9" t="s">
        <v>141</v>
      </c>
      <c r="C52" s="10"/>
      <c r="D52" s="11"/>
      <c r="E52" s="12" t="s">
        <v>142</v>
      </c>
    </row>
    <row r="53" customFormat="false" ht="31.5" hidden="false" customHeight="true" outlineLevel="0" collapsed="false">
      <c r="A53" s="8" t="s">
        <v>143</v>
      </c>
      <c r="B53" s="9" t="s">
        <v>144</v>
      </c>
      <c r="C53" s="10"/>
      <c r="D53" s="11"/>
      <c r="E53" s="12" t="s">
        <v>145</v>
      </c>
    </row>
    <row r="54" customFormat="false" ht="31.5" hidden="false" customHeight="true" outlineLevel="0" collapsed="false">
      <c r="A54" s="8" t="s">
        <v>146</v>
      </c>
      <c r="B54" s="9" t="s">
        <v>147</v>
      </c>
      <c r="C54" s="10"/>
      <c r="D54" s="11"/>
      <c r="E54" s="12" t="s">
        <v>148</v>
      </c>
    </row>
    <row r="55" customFormat="false" ht="21.75" hidden="false" customHeight="true" outlineLevel="0" collapsed="false">
      <c r="A55" s="21" t="s">
        <v>149</v>
      </c>
      <c r="B55" s="21"/>
      <c r="C55" s="21"/>
      <c r="D55" s="21"/>
      <c r="E55" s="21"/>
    </row>
    <row r="56" customFormat="false" ht="31.5" hidden="false" customHeight="true" outlineLevel="0" collapsed="false">
      <c r="A56" s="8" t="s">
        <v>150</v>
      </c>
      <c r="B56" s="9" t="s">
        <v>151</v>
      </c>
      <c r="C56" s="10"/>
      <c r="D56" s="11"/>
      <c r="E56" s="12" t="s">
        <v>152</v>
      </c>
    </row>
    <row r="57" customFormat="false" ht="31.5" hidden="false" customHeight="true" outlineLevel="0" collapsed="false">
      <c r="A57" s="8" t="s">
        <v>153</v>
      </c>
      <c r="B57" s="9" t="s">
        <v>154</v>
      </c>
      <c r="C57" s="10"/>
      <c r="D57" s="11"/>
      <c r="E57" s="12" t="s">
        <v>155</v>
      </c>
    </row>
    <row r="58" customFormat="false" ht="31.5" hidden="false" customHeight="true" outlineLevel="0" collapsed="false">
      <c r="A58" s="8" t="s">
        <v>156</v>
      </c>
      <c r="B58" s="9" t="s">
        <v>157</v>
      </c>
      <c r="C58" s="10"/>
      <c r="D58" s="11" t="s">
        <v>59</v>
      </c>
      <c r="E58" s="12" t="s">
        <v>158</v>
      </c>
    </row>
    <row r="59" customFormat="false" ht="31.5" hidden="false" customHeight="true" outlineLevel="0" collapsed="false">
      <c r="A59" s="8" t="s">
        <v>159</v>
      </c>
      <c r="B59" s="9" t="s">
        <v>160</v>
      </c>
      <c r="C59" s="10"/>
      <c r="D59" s="11" t="s">
        <v>70</v>
      </c>
      <c r="E59" s="12" t="s">
        <v>161</v>
      </c>
    </row>
    <row r="60" customFormat="false" ht="31.5" hidden="false" customHeight="true" outlineLevel="0" collapsed="false">
      <c r="A60" s="8" t="s">
        <v>162</v>
      </c>
      <c r="B60" s="9" t="s">
        <v>163</v>
      </c>
      <c r="C60" s="10"/>
      <c r="D60" s="11" t="s">
        <v>70</v>
      </c>
      <c r="E60" s="12" t="s">
        <v>164</v>
      </c>
    </row>
    <row r="61" customFormat="false" ht="21.75" hidden="false" customHeight="true" outlineLevel="0" collapsed="false">
      <c r="A61" s="22" t="s">
        <v>165</v>
      </c>
      <c r="B61" s="22"/>
      <c r="C61" s="22"/>
      <c r="D61" s="22"/>
      <c r="E61" s="22"/>
    </row>
    <row r="62" customFormat="false" ht="43.5" hidden="false" customHeight="true" outlineLevel="0" collapsed="false">
      <c r="A62" s="23" t="s">
        <v>166</v>
      </c>
      <c r="B62" s="23"/>
      <c r="C62" s="23"/>
      <c r="D62" s="23"/>
      <c r="E62" s="23"/>
    </row>
    <row r="63" customFormat="false" ht="31.5" hidden="false" customHeight="true" outlineLevel="0" collapsed="false">
      <c r="A63" s="24" t="s">
        <v>167</v>
      </c>
      <c r="B63" s="9" t="s">
        <v>168</v>
      </c>
      <c r="C63" s="25"/>
      <c r="D63" s="11"/>
      <c r="E63" s="12" t="s">
        <v>169</v>
      </c>
    </row>
    <row r="64" customFormat="false" ht="31.5" hidden="false" customHeight="true" outlineLevel="0" collapsed="false">
      <c r="A64" s="24" t="s">
        <v>170</v>
      </c>
      <c r="B64" s="9" t="s">
        <v>171</v>
      </c>
      <c r="C64" s="10"/>
      <c r="D64" s="11"/>
      <c r="E64" s="12" t="s">
        <v>172</v>
      </c>
    </row>
    <row r="65" customFormat="false" ht="31.5" hidden="false" customHeight="true" outlineLevel="0" collapsed="false">
      <c r="A65" s="24" t="s">
        <v>173</v>
      </c>
      <c r="B65" s="9" t="s">
        <v>174</v>
      </c>
      <c r="C65" s="25"/>
      <c r="D65" s="11"/>
      <c r="E65" s="12" t="s">
        <v>175</v>
      </c>
    </row>
    <row r="66" customFormat="false" ht="39.75" hidden="false" customHeight="true" outlineLevel="0" collapsed="false">
      <c r="A66" s="24" t="s">
        <v>176</v>
      </c>
      <c r="B66" s="9" t="s">
        <v>177</v>
      </c>
      <c r="C66" s="25"/>
      <c r="D66" s="11"/>
      <c r="E66" s="12" t="s">
        <v>178</v>
      </c>
    </row>
    <row r="67" customFormat="false" ht="31.5" hidden="false" customHeight="true" outlineLevel="0" collapsed="false">
      <c r="A67" s="24" t="s">
        <v>179</v>
      </c>
      <c r="B67" s="9" t="s">
        <v>180</v>
      </c>
      <c r="C67" s="10"/>
      <c r="D67" s="11" t="s">
        <v>59</v>
      </c>
      <c r="E67" s="12" t="s">
        <v>181</v>
      </c>
    </row>
    <row r="68" customFormat="false" ht="39.75" hidden="false" customHeight="true" outlineLevel="0" collapsed="false">
      <c r="A68" s="24" t="s">
        <v>182</v>
      </c>
      <c r="B68" s="9" t="s">
        <v>183</v>
      </c>
      <c r="C68" s="10"/>
      <c r="D68" s="11"/>
      <c r="E68" s="12" t="s">
        <v>184</v>
      </c>
    </row>
    <row r="69" customFormat="false" ht="39.75" hidden="false" customHeight="true" outlineLevel="0" collapsed="false">
      <c r="A69" s="24" t="s">
        <v>185</v>
      </c>
      <c r="B69" s="9" t="s">
        <v>186</v>
      </c>
      <c r="C69" s="10"/>
      <c r="D69" s="11"/>
      <c r="E69" s="12" t="s">
        <v>187</v>
      </c>
    </row>
    <row r="70" customFormat="false" ht="31.5" hidden="false" customHeight="true" outlineLevel="0" collapsed="false">
      <c r="A70" s="24" t="s">
        <v>188</v>
      </c>
      <c r="B70" s="9" t="s">
        <v>189</v>
      </c>
      <c r="C70" s="10"/>
      <c r="D70" s="11"/>
      <c r="E70" s="12" t="s">
        <v>190</v>
      </c>
    </row>
    <row r="71" customFormat="false" ht="39.75" hidden="false" customHeight="true" outlineLevel="0" collapsed="false">
      <c r="A71" s="24" t="s">
        <v>191</v>
      </c>
      <c r="B71" s="9" t="s">
        <v>192</v>
      </c>
      <c r="C71" s="10"/>
      <c r="D71" s="11"/>
      <c r="E71" s="12" t="s">
        <v>193</v>
      </c>
    </row>
    <row r="72" customFormat="false" ht="31.5" hidden="false" customHeight="true" outlineLevel="0" collapsed="false">
      <c r="A72" s="24" t="s">
        <v>194</v>
      </c>
      <c r="B72" s="9" t="s">
        <v>195</v>
      </c>
      <c r="C72" s="10"/>
      <c r="D72" s="11"/>
      <c r="E72" s="12" t="s">
        <v>196</v>
      </c>
    </row>
    <row r="73" customFormat="false" ht="39.75" hidden="false" customHeight="true" outlineLevel="0" collapsed="false">
      <c r="A73" s="24" t="s">
        <v>197</v>
      </c>
      <c r="B73" s="9" t="s">
        <v>198</v>
      </c>
      <c r="C73" s="10"/>
      <c r="D73" s="11"/>
      <c r="E73" s="12" t="s">
        <v>199</v>
      </c>
    </row>
    <row r="74" customFormat="false" ht="39.75" hidden="false" customHeight="true" outlineLevel="0" collapsed="false">
      <c r="A74" s="24" t="s">
        <v>200</v>
      </c>
      <c r="B74" s="9" t="s">
        <v>201</v>
      </c>
      <c r="C74" s="25"/>
      <c r="D74" s="11"/>
      <c r="E74" s="12" t="s">
        <v>202</v>
      </c>
    </row>
    <row r="75" customFormat="false" ht="13.5" hidden="false" customHeight="true" outlineLevel="0" collapsed="false">
      <c r="A75" s="26" t="s">
        <v>203</v>
      </c>
      <c r="B75" s="26"/>
      <c r="C75" s="26"/>
      <c r="D75" s="26"/>
      <c r="E75" s="26"/>
    </row>
  </sheetData>
  <mergeCells count="15">
    <mergeCell ref="A1:E1"/>
    <mergeCell ref="A2:E2"/>
    <mergeCell ref="A5:E5"/>
    <mergeCell ref="A7:E7"/>
    <mergeCell ref="A8:E8"/>
    <mergeCell ref="A16:E16"/>
    <mergeCell ref="A22:E22"/>
    <mergeCell ref="A23:E23"/>
    <mergeCell ref="A31:E31"/>
    <mergeCell ref="A40:E40"/>
    <mergeCell ref="A46:E46"/>
    <mergeCell ref="A55:E55"/>
    <mergeCell ref="A61:E61"/>
    <mergeCell ref="A62:E62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DA4"/>
    <pageSetUpPr fitToPage="false"/>
  </sheetPr>
  <dimension ref="A1:E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26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5" min="5" style="1" width="40"/>
  </cols>
  <sheetData>
    <row r="1" customFormat="false" ht="42" hidden="false" customHeight="true" outlineLevel="0" collapsed="false">
      <c r="A1" s="2" t="s">
        <v>204</v>
      </c>
      <c r="B1" s="2"/>
      <c r="C1" s="2"/>
      <c r="D1" s="2"/>
      <c r="E1" s="2"/>
    </row>
    <row r="2" customFormat="false" ht="15.75" hidden="false" customHeight="true" outlineLevel="0" collapsed="false">
      <c r="A2" s="3" t="s">
        <v>205</v>
      </c>
      <c r="B2" s="3"/>
      <c r="C2" s="3"/>
      <c r="D2" s="3"/>
      <c r="E2" s="3"/>
    </row>
    <row r="3" customFormat="false" ht="19.5" hidden="false" customHeight="true" outlineLevel="0" collapsed="false">
      <c r="A3" s="6" t="s">
        <v>206</v>
      </c>
      <c r="B3" s="6" t="s">
        <v>207</v>
      </c>
      <c r="C3" s="6" t="s">
        <v>8</v>
      </c>
      <c r="D3" s="6" t="s">
        <v>208</v>
      </c>
      <c r="E3" s="6" t="s">
        <v>209</v>
      </c>
    </row>
    <row r="4" customFormat="false" ht="21.75" hidden="false" customHeight="true" outlineLevel="0" collapsed="false">
      <c r="A4" s="27" t="s">
        <v>210</v>
      </c>
      <c r="B4" s="27"/>
      <c r="C4" s="27"/>
      <c r="D4" s="27"/>
      <c r="E4" s="27"/>
    </row>
    <row r="5" customFormat="false" ht="27.75" hidden="false" customHeight="true" outlineLevel="0" collapsed="false">
      <c r="A5" s="9" t="s">
        <v>211</v>
      </c>
      <c r="B5" s="28"/>
      <c r="C5" s="11"/>
      <c r="D5" s="29" t="s">
        <v>212</v>
      </c>
      <c r="E5" s="12" t="s">
        <v>213</v>
      </c>
    </row>
    <row r="6" customFormat="false" ht="27.75" hidden="false" customHeight="true" outlineLevel="0" collapsed="false">
      <c r="A6" s="9" t="s">
        <v>214</v>
      </c>
      <c r="B6" s="28"/>
      <c r="C6" s="11"/>
      <c r="D6" s="29" t="s">
        <v>215</v>
      </c>
      <c r="E6" s="12" t="s">
        <v>216</v>
      </c>
    </row>
    <row r="7" customFormat="false" ht="27.75" hidden="false" customHeight="true" outlineLevel="0" collapsed="false">
      <c r="A7" s="9" t="s">
        <v>23</v>
      </c>
      <c r="B7" s="28"/>
      <c r="C7" s="11" t="s">
        <v>24</v>
      </c>
      <c r="D7" s="29" t="s">
        <v>217</v>
      </c>
      <c r="E7" s="12" t="s">
        <v>218</v>
      </c>
    </row>
    <row r="8" customFormat="false" ht="27.75" hidden="false" customHeight="true" outlineLevel="0" collapsed="false">
      <c r="A8" s="9" t="s">
        <v>219</v>
      </c>
      <c r="B8" s="28"/>
      <c r="C8" s="11"/>
      <c r="D8" s="29" t="s">
        <v>220</v>
      </c>
      <c r="E8" s="12" t="s">
        <v>221</v>
      </c>
    </row>
    <row r="9" customFormat="false" ht="27.75" hidden="false" customHeight="true" outlineLevel="0" collapsed="false">
      <c r="A9" s="9" t="s">
        <v>222</v>
      </c>
      <c r="B9" s="28"/>
      <c r="C9" s="11" t="s">
        <v>59</v>
      </c>
      <c r="D9" s="29" t="s">
        <v>223</v>
      </c>
      <c r="E9" s="12" t="s">
        <v>224</v>
      </c>
    </row>
    <row r="10" customFormat="false" ht="27.75" hidden="false" customHeight="true" outlineLevel="0" collapsed="false">
      <c r="A10" s="9" t="s">
        <v>225</v>
      </c>
      <c r="B10" s="28"/>
      <c r="C10" s="11" t="s">
        <v>59</v>
      </c>
      <c r="D10" s="29" t="s">
        <v>220</v>
      </c>
      <c r="E10" s="12" t="s">
        <v>226</v>
      </c>
    </row>
    <row r="11" customFormat="false" ht="27.75" hidden="false" customHeight="true" outlineLevel="0" collapsed="false">
      <c r="A11" s="9" t="s">
        <v>227</v>
      </c>
      <c r="B11" s="28"/>
      <c r="C11" s="11" t="s">
        <v>228</v>
      </c>
      <c r="D11" s="29" t="s">
        <v>229</v>
      </c>
      <c r="E11" s="12" t="s">
        <v>230</v>
      </c>
    </row>
    <row r="12" customFormat="false" ht="27.75" hidden="false" customHeight="true" outlineLevel="0" collapsed="false">
      <c r="A12" s="9" t="s">
        <v>231</v>
      </c>
      <c r="B12" s="28"/>
      <c r="C12" s="11" t="s">
        <v>228</v>
      </c>
      <c r="D12" s="29" t="s">
        <v>229</v>
      </c>
      <c r="E12" s="12" t="s">
        <v>232</v>
      </c>
    </row>
    <row r="13" customFormat="false" ht="27.75" hidden="false" customHeight="true" outlineLevel="0" collapsed="false">
      <c r="A13" s="9" t="s">
        <v>233</v>
      </c>
      <c r="B13" s="28"/>
      <c r="C13" s="11" t="s">
        <v>228</v>
      </c>
      <c r="D13" s="29" t="s">
        <v>234</v>
      </c>
      <c r="E13" s="12" t="s">
        <v>235</v>
      </c>
    </row>
    <row r="14" customFormat="false" ht="27.75" hidden="false" customHeight="true" outlineLevel="0" collapsed="false">
      <c r="A14" s="9" t="s">
        <v>236</v>
      </c>
      <c r="B14" s="28"/>
      <c r="C14" s="11" t="s">
        <v>70</v>
      </c>
      <c r="D14" s="29" t="s">
        <v>237</v>
      </c>
      <c r="E14" s="12" t="s">
        <v>238</v>
      </c>
    </row>
    <row r="15" customFormat="false" ht="27.75" hidden="false" customHeight="true" outlineLevel="0" collapsed="false">
      <c r="A15" s="9" t="s">
        <v>239</v>
      </c>
      <c r="B15" s="28"/>
      <c r="C15" s="11" t="s">
        <v>228</v>
      </c>
      <c r="D15" s="29" t="s">
        <v>240</v>
      </c>
      <c r="E15" s="12" t="s">
        <v>241</v>
      </c>
    </row>
    <row r="16" customFormat="false" ht="27.75" hidden="false" customHeight="true" outlineLevel="0" collapsed="false">
      <c r="A16" s="9" t="s">
        <v>242</v>
      </c>
      <c r="B16" s="28"/>
      <c r="C16" s="11" t="s">
        <v>243</v>
      </c>
      <c r="D16" s="29" t="s">
        <v>240</v>
      </c>
      <c r="E16" s="12" t="s">
        <v>244</v>
      </c>
    </row>
    <row r="17" customFormat="false" ht="27.75" hidden="false" customHeight="true" outlineLevel="0" collapsed="false">
      <c r="A17" s="9" t="s">
        <v>245</v>
      </c>
      <c r="B17" s="28"/>
      <c r="C17" s="11" t="s">
        <v>70</v>
      </c>
      <c r="D17" s="29" t="s">
        <v>220</v>
      </c>
      <c r="E17" s="12" t="s">
        <v>246</v>
      </c>
    </row>
    <row r="18" customFormat="false" ht="27.75" hidden="false" customHeight="true" outlineLevel="0" collapsed="false">
      <c r="A18" s="9" t="s">
        <v>247</v>
      </c>
      <c r="B18" s="28"/>
      <c r="C18" s="11" t="s">
        <v>70</v>
      </c>
      <c r="D18" s="29" t="s">
        <v>248</v>
      </c>
      <c r="E18" s="12" t="s">
        <v>249</v>
      </c>
    </row>
    <row r="19" customFormat="false" ht="27.75" hidden="false" customHeight="true" outlineLevel="0" collapsed="false">
      <c r="A19" s="9" t="s">
        <v>250</v>
      </c>
      <c r="B19" s="28"/>
      <c r="C19" s="11"/>
      <c r="D19" s="29" t="s">
        <v>251</v>
      </c>
      <c r="E19" s="12" t="s">
        <v>252</v>
      </c>
    </row>
    <row r="20" customFormat="false" ht="27.75" hidden="false" customHeight="true" outlineLevel="0" collapsed="false">
      <c r="A20" s="9" t="s">
        <v>253</v>
      </c>
      <c r="B20" s="28"/>
      <c r="C20" s="11"/>
      <c r="D20" s="29" t="s">
        <v>234</v>
      </c>
      <c r="E20" s="12" t="s">
        <v>254</v>
      </c>
    </row>
    <row r="21" customFormat="false" ht="21.75" hidden="false" customHeight="true" outlineLevel="0" collapsed="false">
      <c r="A21" s="13" t="s">
        <v>255</v>
      </c>
      <c r="B21" s="13"/>
      <c r="C21" s="13"/>
      <c r="D21" s="13"/>
      <c r="E21" s="13"/>
    </row>
    <row r="22" customFormat="false" ht="27.75" hidden="false" customHeight="true" outlineLevel="0" collapsed="false">
      <c r="A22" s="9" t="s">
        <v>256</v>
      </c>
      <c r="B22" s="28"/>
      <c r="C22" s="11" t="s">
        <v>59</v>
      </c>
      <c r="D22" s="29" t="s">
        <v>257</v>
      </c>
      <c r="E22" s="12" t="s">
        <v>258</v>
      </c>
    </row>
    <row r="23" customFormat="false" ht="27.75" hidden="false" customHeight="true" outlineLevel="0" collapsed="false">
      <c r="A23" s="9" t="s">
        <v>259</v>
      </c>
      <c r="B23" s="28"/>
      <c r="C23" s="11" t="s">
        <v>260</v>
      </c>
      <c r="D23" s="29" t="s">
        <v>261</v>
      </c>
      <c r="E23" s="12" t="s">
        <v>262</v>
      </c>
    </row>
    <row r="24" customFormat="false" ht="27.75" hidden="false" customHeight="true" outlineLevel="0" collapsed="false">
      <c r="A24" s="9" t="s">
        <v>263</v>
      </c>
      <c r="B24" s="28"/>
      <c r="C24" s="11" t="s">
        <v>228</v>
      </c>
      <c r="D24" s="29" t="s">
        <v>264</v>
      </c>
      <c r="E24" s="12" t="s">
        <v>265</v>
      </c>
    </row>
    <row r="25" customFormat="false" ht="27.75" hidden="false" customHeight="true" outlineLevel="0" collapsed="false">
      <c r="A25" s="9" t="s">
        <v>266</v>
      </c>
      <c r="B25" s="28"/>
      <c r="C25" s="11" t="s">
        <v>267</v>
      </c>
      <c r="D25" s="29" t="s">
        <v>268</v>
      </c>
      <c r="E25" s="12" t="s">
        <v>269</v>
      </c>
    </row>
    <row r="26" customFormat="false" ht="27.75" hidden="false" customHeight="true" outlineLevel="0" collapsed="false">
      <c r="A26" s="9" t="s">
        <v>270</v>
      </c>
      <c r="B26" s="28"/>
      <c r="C26" s="11" t="s">
        <v>271</v>
      </c>
      <c r="D26" s="29" t="s">
        <v>272</v>
      </c>
      <c r="E26" s="12" t="s">
        <v>273</v>
      </c>
    </row>
    <row r="27" customFormat="false" ht="27.75" hidden="false" customHeight="true" outlineLevel="0" collapsed="false">
      <c r="A27" s="9" t="s">
        <v>274</v>
      </c>
      <c r="B27" s="28"/>
      <c r="C27" s="11" t="s">
        <v>275</v>
      </c>
      <c r="D27" s="29" t="s">
        <v>276</v>
      </c>
      <c r="E27" s="12" t="s">
        <v>277</v>
      </c>
    </row>
    <row r="28" customFormat="false" ht="27.75" hidden="false" customHeight="true" outlineLevel="0" collapsed="false">
      <c r="A28" s="9" t="s">
        <v>278</v>
      </c>
      <c r="B28" s="28"/>
      <c r="C28" s="11" t="s">
        <v>279</v>
      </c>
      <c r="D28" s="29" t="s">
        <v>280</v>
      </c>
      <c r="E28" s="12" t="s">
        <v>281</v>
      </c>
    </row>
    <row r="29" customFormat="false" ht="27.75" hidden="false" customHeight="true" outlineLevel="0" collapsed="false">
      <c r="A29" s="9" t="s">
        <v>282</v>
      </c>
      <c r="B29" s="28"/>
      <c r="C29" s="11" t="s">
        <v>283</v>
      </c>
      <c r="D29" s="29" t="s">
        <v>284</v>
      </c>
      <c r="E29" s="12" t="s">
        <v>285</v>
      </c>
    </row>
    <row r="30" customFormat="false" ht="21.75" hidden="false" customHeight="true" outlineLevel="0" collapsed="false">
      <c r="A30" s="30" t="s">
        <v>286</v>
      </c>
      <c r="B30" s="30"/>
      <c r="C30" s="30"/>
      <c r="D30" s="30"/>
      <c r="E30" s="30"/>
    </row>
    <row r="31" customFormat="false" ht="30" hidden="false" customHeight="true" outlineLevel="0" collapsed="false">
      <c r="A31" s="31" t="s">
        <v>287</v>
      </c>
      <c r="B31" s="31"/>
      <c r="C31" s="31"/>
      <c r="D31" s="31"/>
      <c r="E31" s="31"/>
    </row>
    <row r="32" customFormat="false" ht="27.75" hidden="false" customHeight="true" outlineLevel="0" collapsed="false">
      <c r="A32" s="9" t="s">
        <v>288</v>
      </c>
      <c r="B32" s="32" t="str">
        <f aca="false">IF(AND(B26&lt;&gt;"",B27&lt;&gt;""),B26*B27,"")</f>
        <v/>
      </c>
      <c r="C32" s="11" t="s">
        <v>289</v>
      </c>
      <c r="D32" s="29" t="s">
        <v>290</v>
      </c>
      <c r="E32" s="12" t="s">
        <v>291</v>
      </c>
    </row>
    <row r="33" customFormat="false" ht="27.75" hidden="false" customHeight="true" outlineLevel="0" collapsed="false">
      <c r="A33" s="9" t="s">
        <v>292</v>
      </c>
      <c r="B33" s="32" t="str">
        <f aca="false">IF(AND(B32&lt;&gt;"",B24&lt;&gt;"",B24&gt;0),B32*(B24/100),"")</f>
        <v/>
      </c>
      <c r="C33" s="11" t="s">
        <v>289</v>
      </c>
      <c r="D33" s="29" t="s">
        <v>290</v>
      </c>
      <c r="E33" s="12" t="s">
        <v>293</v>
      </c>
    </row>
    <row r="34" customFormat="false" ht="27.75" hidden="false" customHeight="true" outlineLevel="0" collapsed="false">
      <c r="A34" s="9" t="s">
        <v>294</v>
      </c>
      <c r="B34" s="32" t="str">
        <f aca="false">IF(B25&lt;&gt;"",B25,"")</f>
        <v/>
      </c>
      <c r="C34" s="11" t="s">
        <v>289</v>
      </c>
      <c r="D34" s="29" t="s">
        <v>295</v>
      </c>
      <c r="E34" s="12" t="s">
        <v>296</v>
      </c>
    </row>
    <row r="35" customFormat="false" ht="27.75" hidden="false" customHeight="true" outlineLevel="0" collapsed="false">
      <c r="A35" s="9" t="s">
        <v>297</v>
      </c>
      <c r="B35" s="32" t="str">
        <f aca="false">IF(AND(B33&lt;&gt;"",B34&lt;&gt;"",B34&gt;0),ABS((B33-B34)/B34)*100,"")</f>
        <v/>
      </c>
      <c r="C35" s="11" t="s">
        <v>228</v>
      </c>
      <c r="D35" s="29" t="s">
        <v>298</v>
      </c>
      <c r="E35" s="12" t="s">
        <v>299</v>
      </c>
    </row>
    <row r="36" customFormat="false" ht="27.75" hidden="false" customHeight="true" outlineLevel="0" collapsed="false">
      <c r="A36" s="9" t="s">
        <v>300</v>
      </c>
      <c r="B36" s="32" t="str">
        <f aca="false">IF(B35="","Brak danych do walidacji",IF(B35&lt;=5,"✅ ZATWIERDZONY (Δ≤5%)",IF(B35&lt;=10,"⚠️ WARUNKOWO (5-10%)","❌ ODRZUCONY (&gt;10%) — weryfikuj dane")))</f>
        <v>Brak danych do walidacji</v>
      </c>
      <c r="C36" s="11"/>
      <c r="D36" s="29" t="s">
        <v>290</v>
      </c>
      <c r="E36" s="12" t="s">
        <v>301</v>
      </c>
    </row>
    <row r="37" customFormat="false" ht="27.75" hidden="false" customHeight="true" outlineLevel="0" collapsed="false">
      <c r="A37" s="9" t="s">
        <v>302</v>
      </c>
      <c r="B37" s="32" t="str">
        <f aca="false">IF(AND(B32&lt;&gt;"",B28&lt;&gt;""),B32*B28,"")</f>
        <v/>
      </c>
      <c r="C37" s="11" t="s">
        <v>303</v>
      </c>
      <c r="D37" s="29" t="s">
        <v>290</v>
      </c>
      <c r="E37" s="12" t="s">
        <v>304</v>
      </c>
    </row>
    <row r="38" customFormat="false" ht="27.75" hidden="false" customHeight="true" outlineLevel="0" collapsed="false">
      <c r="A38" s="9" t="s">
        <v>305</v>
      </c>
      <c r="B38" s="32" t="str">
        <f aca="false">IF(AND(B34&lt;&gt;"",B32&lt;&gt;"",B32&gt;0),B34/B32*100,"")</f>
        <v/>
      </c>
      <c r="C38" s="11" t="s">
        <v>228</v>
      </c>
      <c r="D38" s="29" t="s">
        <v>306</v>
      </c>
      <c r="E38" s="12" t="s">
        <v>307</v>
      </c>
    </row>
    <row r="39" customFormat="false" ht="27.75" hidden="false" customHeight="true" outlineLevel="0" collapsed="false">
      <c r="A39" s="9" t="s">
        <v>308</v>
      </c>
      <c r="B39" s="32" t="str">
        <f aca="false">IF(B38&lt;&gt;"",100-B38,"")</f>
        <v/>
      </c>
      <c r="C39" s="11" t="s">
        <v>228</v>
      </c>
      <c r="D39" s="29" t="s">
        <v>290</v>
      </c>
      <c r="E39" s="12" t="s">
        <v>309</v>
      </c>
    </row>
    <row r="40" customFormat="false" ht="27.75" hidden="false" customHeight="true" outlineLevel="0" collapsed="false">
      <c r="A40" s="9" t="s">
        <v>310</v>
      </c>
      <c r="B40" s="32" t="str">
        <f aca="false">IF(AND(B32&lt;&gt;"",B38&lt;&gt;""),B32*(0.95-B38/100),"")</f>
        <v/>
      </c>
      <c r="C40" s="11" t="s">
        <v>289</v>
      </c>
      <c r="D40" s="29" t="s">
        <v>311</v>
      </c>
      <c r="E40" s="12" t="s">
        <v>312</v>
      </c>
    </row>
    <row r="41" customFormat="false" ht="27.75" hidden="false" customHeight="true" outlineLevel="0" collapsed="false">
      <c r="A41" s="9" t="s">
        <v>313</v>
      </c>
      <c r="B41" s="32" t="str">
        <f aca="false">IF(AND(B40&lt;&gt;"",B28&lt;&gt;""),B40*B28,"")</f>
        <v/>
      </c>
      <c r="C41" s="11" t="s">
        <v>303</v>
      </c>
      <c r="D41" s="29" t="s">
        <v>290</v>
      </c>
      <c r="E41" s="12" t="s">
        <v>314</v>
      </c>
    </row>
    <row r="42" customFormat="false" ht="21.75" hidden="false" customHeight="true" outlineLevel="0" collapsed="false">
      <c r="A42" s="7" t="s">
        <v>315</v>
      </c>
      <c r="B42" s="7"/>
      <c r="C42" s="7"/>
      <c r="D42" s="7"/>
      <c r="E42" s="7"/>
    </row>
    <row r="43" customFormat="false" ht="15" hidden="false" customHeight="true" outlineLevel="0" collapsed="false">
      <c r="A43" s="33" t="s">
        <v>316</v>
      </c>
      <c r="B43" s="33"/>
      <c r="C43" s="33"/>
      <c r="D43" s="33"/>
      <c r="E43" s="33"/>
    </row>
    <row r="44" customFormat="false" ht="27.75" hidden="false" customHeight="true" outlineLevel="0" collapsed="false">
      <c r="A44" s="9" t="s">
        <v>317</v>
      </c>
      <c r="B44" s="28"/>
      <c r="C44" s="11"/>
      <c r="D44" s="29" t="s">
        <v>318</v>
      </c>
      <c r="E44" s="12" t="s">
        <v>319</v>
      </c>
    </row>
    <row r="45" customFormat="false" ht="27.75" hidden="false" customHeight="true" outlineLevel="0" collapsed="false">
      <c r="A45" s="9" t="s">
        <v>320</v>
      </c>
      <c r="B45" s="28"/>
      <c r="C45" s="11" t="s">
        <v>70</v>
      </c>
      <c r="D45" s="29" t="s">
        <v>321</v>
      </c>
      <c r="E45" s="12" t="s">
        <v>322</v>
      </c>
    </row>
    <row r="46" customFormat="false" ht="27.75" hidden="false" customHeight="true" outlineLevel="0" collapsed="false">
      <c r="A46" s="9" t="s">
        <v>239</v>
      </c>
      <c r="B46" s="28"/>
      <c r="C46" s="11" t="s">
        <v>228</v>
      </c>
      <c r="D46" s="29" t="s">
        <v>321</v>
      </c>
      <c r="E46" s="12" t="s">
        <v>323</v>
      </c>
    </row>
    <row r="47" customFormat="false" ht="27.75" hidden="false" customHeight="true" outlineLevel="0" collapsed="false">
      <c r="A47" s="9" t="s">
        <v>324</v>
      </c>
      <c r="B47" s="28"/>
      <c r="C47" s="11" t="s">
        <v>228</v>
      </c>
      <c r="D47" s="29" t="s">
        <v>321</v>
      </c>
      <c r="E47" s="12" t="s">
        <v>325</v>
      </c>
    </row>
    <row r="48" customFormat="false" ht="27.75" hidden="false" customHeight="true" outlineLevel="0" collapsed="false">
      <c r="A48" s="9" t="s">
        <v>242</v>
      </c>
      <c r="B48" s="28"/>
      <c r="C48" s="11" t="s">
        <v>243</v>
      </c>
      <c r="D48" s="29" t="s">
        <v>321</v>
      </c>
      <c r="E48" s="12" t="s">
        <v>326</v>
      </c>
    </row>
    <row r="49" customFormat="false" ht="27.75" hidden="false" customHeight="true" outlineLevel="0" collapsed="false">
      <c r="A49" s="9" t="s">
        <v>327</v>
      </c>
      <c r="B49" s="28"/>
      <c r="C49" s="11" t="s">
        <v>228</v>
      </c>
      <c r="D49" s="29" t="s">
        <v>321</v>
      </c>
      <c r="E49" s="12" t="s">
        <v>328</v>
      </c>
    </row>
    <row r="50" customFormat="false" ht="27.75" hidden="false" customHeight="true" outlineLevel="0" collapsed="false">
      <c r="A50" s="9" t="s">
        <v>329</v>
      </c>
      <c r="B50" s="28"/>
      <c r="C50" s="11" t="s">
        <v>228</v>
      </c>
      <c r="D50" s="29" t="s">
        <v>321</v>
      </c>
      <c r="E50" s="12" t="s">
        <v>330</v>
      </c>
    </row>
    <row r="51" customFormat="false" ht="21.75" hidden="false" customHeight="true" outlineLevel="0" collapsed="false">
      <c r="A51" s="22" t="s">
        <v>331</v>
      </c>
      <c r="B51" s="22"/>
      <c r="C51" s="22"/>
      <c r="D51" s="22"/>
      <c r="E51" s="22"/>
    </row>
    <row r="52" customFormat="false" ht="43.5" hidden="false" customHeight="true" outlineLevel="0" collapsed="false">
      <c r="A52" s="23" t="s">
        <v>332</v>
      </c>
      <c r="B52" s="23"/>
      <c r="C52" s="23"/>
      <c r="D52" s="23"/>
      <c r="E52" s="23"/>
    </row>
    <row r="53" customFormat="false" ht="27.75" hidden="false" customHeight="true" outlineLevel="0" collapsed="false">
      <c r="A53" s="9" t="s">
        <v>333</v>
      </c>
      <c r="B53" s="28"/>
      <c r="C53" s="11"/>
      <c r="D53" s="34" t="s">
        <v>334</v>
      </c>
      <c r="E53" s="12" t="s">
        <v>335</v>
      </c>
    </row>
    <row r="54" customFormat="false" ht="27.75" hidden="false" customHeight="true" outlineLevel="0" collapsed="false">
      <c r="A54" s="9" t="s">
        <v>336</v>
      </c>
      <c r="B54" s="28"/>
      <c r="C54" s="11"/>
      <c r="D54" s="34" t="s">
        <v>337</v>
      </c>
      <c r="E54" s="12" t="s">
        <v>338</v>
      </c>
    </row>
    <row r="55" customFormat="false" ht="27.75" hidden="false" customHeight="true" outlineLevel="0" collapsed="false">
      <c r="A55" s="9" t="s">
        <v>339</v>
      </c>
      <c r="B55" s="28"/>
      <c r="C55" s="11"/>
      <c r="D55" s="34" t="s">
        <v>340</v>
      </c>
      <c r="E55" s="12" t="s">
        <v>341</v>
      </c>
    </row>
    <row r="56" customFormat="false" ht="27.75" hidden="false" customHeight="true" outlineLevel="0" collapsed="false">
      <c r="A56" s="9" t="s">
        <v>342</v>
      </c>
      <c r="B56" s="28"/>
      <c r="C56" s="11" t="s">
        <v>343</v>
      </c>
      <c r="D56" s="34" t="s">
        <v>344</v>
      </c>
      <c r="E56" s="12" t="s">
        <v>345</v>
      </c>
    </row>
    <row r="57" customFormat="false" ht="27.75" hidden="false" customHeight="true" outlineLevel="0" collapsed="false">
      <c r="A57" s="9" t="s">
        <v>346</v>
      </c>
      <c r="B57" s="28"/>
      <c r="C57" s="11" t="s">
        <v>59</v>
      </c>
      <c r="D57" s="34" t="s">
        <v>347</v>
      </c>
      <c r="E57" s="12" t="s">
        <v>348</v>
      </c>
    </row>
    <row r="58" customFormat="false" ht="27.75" hidden="false" customHeight="true" outlineLevel="0" collapsed="false">
      <c r="A58" s="9" t="s">
        <v>349</v>
      </c>
      <c r="B58" s="28"/>
      <c r="C58" s="11"/>
      <c r="D58" s="34" t="s">
        <v>350</v>
      </c>
      <c r="E58" s="12" t="s">
        <v>351</v>
      </c>
    </row>
    <row r="59" customFormat="false" ht="27.75" hidden="false" customHeight="true" outlineLevel="0" collapsed="false">
      <c r="A59" s="9" t="s">
        <v>352</v>
      </c>
      <c r="B59" s="28"/>
      <c r="C59" s="11"/>
      <c r="D59" s="34" t="s">
        <v>353</v>
      </c>
      <c r="E59" s="12" t="s">
        <v>354</v>
      </c>
    </row>
    <row r="60" customFormat="false" ht="27.75" hidden="false" customHeight="true" outlineLevel="0" collapsed="false">
      <c r="A60" s="9" t="s">
        <v>355</v>
      </c>
      <c r="B60" s="28"/>
      <c r="C60" s="11"/>
      <c r="D60" s="34" t="s">
        <v>356</v>
      </c>
      <c r="E60" s="12" t="s">
        <v>357</v>
      </c>
    </row>
    <row r="61" customFormat="false" ht="21.75" hidden="false" customHeight="true" outlineLevel="0" collapsed="false">
      <c r="A61" s="19" t="s">
        <v>358</v>
      </c>
      <c r="B61" s="19"/>
      <c r="C61" s="19"/>
      <c r="D61" s="19"/>
      <c r="E61" s="19"/>
    </row>
    <row r="62" customFormat="false" ht="27.75" hidden="false" customHeight="true" outlineLevel="0" collapsed="false">
      <c r="A62" s="9" t="s">
        <v>359</v>
      </c>
      <c r="B62" s="32" t="str">
        <f aca="false">IF(AND(B53&lt;&gt;"",B56&lt;&gt;""),EDATE(B53,B56*12),"")</f>
        <v/>
      </c>
      <c r="C62" s="11"/>
      <c r="D62" s="34" t="s">
        <v>290</v>
      </c>
      <c r="E62" s="12" t="s">
        <v>360</v>
      </c>
    </row>
    <row r="63" customFormat="false" ht="27.75" hidden="false" customHeight="true" outlineLevel="0" collapsed="false">
      <c r="A63" s="9" t="s">
        <v>361</v>
      </c>
      <c r="B63" s="32" t="str">
        <f aca="true">IF(B62&lt;&gt;"",B62-TODAY(),"")</f>
        <v/>
      </c>
      <c r="C63" s="11" t="s">
        <v>362</v>
      </c>
      <c r="D63" s="34" t="s">
        <v>290</v>
      </c>
      <c r="E63" s="12" t="s">
        <v>363</v>
      </c>
    </row>
    <row r="64" customFormat="false" ht="36" hidden="false" customHeight="true" outlineLevel="0" collapsed="false">
      <c r="A64" s="9" t="s">
        <v>364</v>
      </c>
      <c r="B64" s="32" t="str">
        <f aca="false">IF(B53="","❌ NIEZGODNOŚĆ — BRAK KONTROLI (nie przeprowadzono lub brak danych)",IF(B54="","❌ NIEZGODNOŚĆ — BRAK NUMERU PROTOKOŁU W REJESTRZE e-CR",IF(B55="NIE","❌ NIEZGODNOŚĆ — PROTOKÓŁ NIEZWERYFIKOWANY W REJESTRZE e-CR",IF(B63="","⚠️ Brak danych do obliczenia terminu",IF(B63&lt;0,"❌ NIEZGODNOŚĆ — TERMIN KONTROLI PRZEKROCZONY O "
&amp;ABS(ROUND(B63/30,0))&amp;" miesięcy",IF(B63&lt;90,"⚠️ UWAGA — termin kontroli za mniej niż 3 miesiące","✅ ZGODNY — kontrola aktualna, protokół w rejestrze"))))))</f>
        <v>❌ NIEZGODNOŚĆ — BRAK KONTROLI (nie przeprowadzono lub brak danych)</v>
      </c>
      <c r="C64" s="11"/>
      <c r="D64" s="34" t="s">
        <v>365</v>
      </c>
      <c r="E64" s="12" t="s">
        <v>366</v>
      </c>
    </row>
    <row r="65" customFormat="false" ht="27.75" hidden="false" customHeight="true" outlineLevel="0" collapsed="false">
      <c r="A65" s="9" t="s">
        <v>367</v>
      </c>
      <c r="B65" s="28"/>
      <c r="C65" s="11"/>
      <c r="D65" s="34" t="s">
        <v>368</v>
      </c>
      <c r="E65" s="12" t="s">
        <v>369</v>
      </c>
    </row>
    <row r="66" customFormat="false" ht="27.75" hidden="false" customHeight="true" outlineLevel="0" collapsed="false">
      <c r="A66" s="9" t="s">
        <v>370</v>
      </c>
      <c r="B66" s="28"/>
      <c r="C66" s="11"/>
      <c r="D66" s="34" t="s">
        <v>371</v>
      </c>
      <c r="E66" s="12" t="s">
        <v>372</v>
      </c>
    </row>
    <row r="67" customFormat="false" ht="27.75" hidden="false" customHeight="true" outlineLevel="0" collapsed="false">
      <c r="A67" s="9" t="s">
        <v>373</v>
      </c>
      <c r="B67" s="28"/>
      <c r="C67" s="11"/>
      <c r="D67" s="34" t="s">
        <v>374</v>
      </c>
      <c r="E67" s="12" t="s">
        <v>375</v>
      </c>
    </row>
    <row r="68" customFormat="false" ht="13.5" hidden="false" customHeight="true" outlineLevel="0" collapsed="false">
      <c r="A68" s="26" t="s">
        <v>376</v>
      </c>
      <c r="B68" s="26"/>
      <c r="C68" s="26"/>
      <c r="D68" s="26"/>
      <c r="E68" s="26"/>
    </row>
  </sheetData>
  <mergeCells count="12">
    <mergeCell ref="A1:E1"/>
    <mergeCell ref="A2:E2"/>
    <mergeCell ref="A4:E4"/>
    <mergeCell ref="A21:E21"/>
    <mergeCell ref="A30:E30"/>
    <mergeCell ref="A31:E31"/>
    <mergeCell ref="A42:E42"/>
    <mergeCell ref="A43:E43"/>
    <mergeCell ref="A51:E51"/>
    <mergeCell ref="A52:E52"/>
    <mergeCell ref="A61:E61"/>
    <mergeCell ref="A68:E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5C"/>
    <pageSetUpPr fitToPage="false"/>
  </sheetPr>
  <dimension ref="A1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26"/>
    <col collapsed="false" customWidth="true" hidden="false" outlineLevel="0" max="5" min="5" style="1" width="24"/>
  </cols>
  <sheetData>
    <row r="1" customFormat="false" ht="42" hidden="false" customHeight="true" outlineLevel="0" collapsed="false">
      <c r="A1" s="35" t="s">
        <v>377</v>
      </c>
      <c r="B1" s="35"/>
      <c r="C1" s="35"/>
      <c r="D1" s="35"/>
      <c r="E1" s="35"/>
    </row>
    <row r="2" customFormat="false" ht="15.75" hidden="false" customHeight="true" outlineLevel="0" collapsed="false">
      <c r="A2" s="36" t="s">
        <v>378</v>
      </c>
      <c r="B2" s="36"/>
      <c r="C2" s="36"/>
      <c r="D2" s="36"/>
      <c r="E2" s="36"/>
    </row>
    <row r="3" customFormat="false" ht="19.5" hidden="false" customHeight="true" outlineLevel="0" collapsed="false">
      <c r="A3" s="37" t="s">
        <v>379</v>
      </c>
      <c r="B3" s="5"/>
      <c r="C3" s="37" t="s">
        <v>380</v>
      </c>
      <c r="D3" s="5"/>
      <c r="E3" s="37" t="s">
        <v>381</v>
      </c>
    </row>
    <row r="4" customFormat="false" ht="21.75" hidden="false" customHeight="true" outlineLevel="0" collapsed="false">
      <c r="A4" s="13" t="s">
        <v>382</v>
      </c>
      <c r="B4" s="13"/>
      <c r="C4" s="13"/>
      <c r="D4" s="13"/>
      <c r="E4" s="13"/>
    </row>
    <row r="5" customFormat="false" ht="24" hidden="false" customHeight="true" outlineLevel="0" collapsed="false">
      <c r="A5" s="38" t="s">
        <v>383</v>
      </c>
      <c r="B5" s="39" t="s">
        <v>384</v>
      </c>
      <c r="C5" s="40"/>
      <c r="D5" s="41"/>
      <c r="E5" s="42"/>
    </row>
    <row r="6" customFormat="false" ht="24" hidden="false" customHeight="true" outlineLevel="0" collapsed="false">
      <c r="A6" s="38" t="s">
        <v>385</v>
      </c>
      <c r="B6" s="39" t="s">
        <v>386</v>
      </c>
      <c r="C6" s="40"/>
      <c r="D6" s="41"/>
      <c r="E6" s="42"/>
    </row>
    <row r="7" customFormat="false" ht="24" hidden="false" customHeight="true" outlineLevel="0" collapsed="false">
      <c r="A7" s="38" t="s">
        <v>23</v>
      </c>
      <c r="B7" s="39" t="s">
        <v>387</v>
      </c>
      <c r="C7" s="40"/>
      <c r="D7" s="41"/>
      <c r="E7" s="42"/>
    </row>
    <row r="8" customFormat="false" ht="24" hidden="false" customHeight="true" outlineLevel="0" collapsed="false">
      <c r="A8" s="38" t="s">
        <v>388</v>
      </c>
      <c r="B8" s="39" t="s">
        <v>389</v>
      </c>
      <c r="C8" s="40"/>
      <c r="D8" s="41"/>
      <c r="E8" s="42"/>
    </row>
    <row r="9" customFormat="false" ht="24" hidden="false" customHeight="true" outlineLevel="0" collapsed="false">
      <c r="A9" s="38" t="s">
        <v>390</v>
      </c>
      <c r="B9" s="39" t="s">
        <v>391</v>
      </c>
      <c r="C9" s="40"/>
      <c r="D9" s="41"/>
      <c r="E9" s="42"/>
    </row>
    <row r="10" customFormat="false" ht="24" hidden="false" customHeight="true" outlineLevel="0" collapsed="false">
      <c r="A10" s="38" t="s">
        <v>392</v>
      </c>
      <c r="B10" s="39" t="s">
        <v>384</v>
      </c>
      <c r="C10" s="40"/>
      <c r="D10" s="41"/>
      <c r="E10" s="42"/>
    </row>
    <row r="11" customFormat="false" ht="24" hidden="false" customHeight="true" outlineLevel="0" collapsed="false">
      <c r="A11" s="38" t="s">
        <v>393</v>
      </c>
      <c r="B11" s="39" t="s">
        <v>394</v>
      </c>
      <c r="C11" s="40"/>
      <c r="D11" s="41"/>
      <c r="E11" s="42"/>
    </row>
    <row r="12" customFormat="false" ht="24" hidden="false" customHeight="true" outlineLevel="0" collapsed="false">
      <c r="A12" s="38" t="s">
        <v>395</v>
      </c>
      <c r="B12" s="39" t="s">
        <v>396</v>
      </c>
      <c r="C12" s="40"/>
      <c r="D12" s="41"/>
      <c r="E12" s="42"/>
    </row>
    <row r="13" customFormat="false" ht="24" hidden="false" customHeight="true" outlineLevel="0" collapsed="false">
      <c r="A13" s="38" t="s">
        <v>397</v>
      </c>
      <c r="B13" s="39" t="s">
        <v>398</v>
      </c>
      <c r="C13" s="40"/>
      <c r="D13" s="41"/>
      <c r="E13" s="42"/>
    </row>
    <row r="14" customFormat="false" ht="24" hidden="false" customHeight="true" outlineLevel="0" collapsed="false">
      <c r="A14" s="38" t="s">
        <v>399</v>
      </c>
      <c r="B14" s="39" t="s">
        <v>400</v>
      </c>
      <c r="C14" s="40"/>
      <c r="D14" s="41"/>
      <c r="E14" s="42"/>
    </row>
    <row r="15" customFormat="false" ht="21.75" hidden="false" customHeight="true" outlineLevel="0" collapsed="false">
      <c r="A15" s="27" t="s">
        <v>401</v>
      </c>
      <c r="B15" s="27"/>
      <c r="C15" s="27"/>
      <c r="D15" s="27"/>
      <c r="E15" s="27"/>
    </row>
    <row r="16" customFormat="false" ht="18" hidden="false" customHeight="true" outlineLevel="0" collapsed="false">
      <c r="A16" s="43" t="s">
        <v>402</v>
      </c>
      <c r="B16" s="43" t="s">
        <v>207</v>
      </c>
      <c r="C16" s="43" t="s">
        <v>403</v>
      </c>
      <c r="D16" s="43" t="s">
        <v>404</v>
      </c>
      <c r="E16" s="43" t="s">
        <v>405</v>
      </c>
    </row>
    <row r="17" customFormat="false" ht="25.5" hidden="false" customHeight="true" outlineLevel="0" collapsed="false">
      <c r="A17" s="44" t="s">
        <v>406</v>
      </c>
      <c r="B17" s="41" t="s">
        <v>384</v>
      </c>
      <c r="C17" s="40" t="s">
        <v>228</v>
      </c>
      <c r="D17" s="42" t="s">
        <v>407</v>
      </c>
      <c r="E17" s="45" t="s">
        <v>408</v>
      </c>
    </row>
    <row r="18" customFormat="false" ht="25.5" hidden="false" customHeight="true" outlineLevel="0" collapsed="false">
      <c r="A18" s="44" t="s">
        <v>409</v>
      </c>
      <c r="B18" s="41" t="s">
        <v>410</v>
      </c>
      <c r="C18" s="40" t="s">
        <v>228</v>
      </c>
      <c r="D18" s="42" t="s">
        <v>411</v>
      </c>
      <c r="E18" s="45" t="s">
        <v>408</v>
      </c>
    </row>
    <row r="19" customFormat="false" ht="25.5" hidden="false" customHeight="true" outlineLevel="0" collapsed="false">
      <c r="A19" s="44" t="s">
        <v>412</v>
      </c>
      <c r="B19" s="41" t="s">
        <v>410</v>
      </c>
      <c r="C19" s="40" t="s">
        <v>228</v>
      </c>
      <c r="D19" s="42" t="s">
        <v>413</v>
      </c>
      <c r="E19" s="45" t="s">
        <v>408</v>
      </c>
    </row>
    <row r="20" customFormat="false" ht="25.5" hidden="false" customHeight="true" outlineLevel="0" collapsed="false">
      <c r="A20" s="44" t="s">
        <v>414</v>
      </c>
      <c r="B20" s="41" t="s">
        <v>415</v>
      </c>
      <c r="C20" s="40" t="s">
        <v>70</v>
      </c>
      <c r="D20" s="42" t="s">
        <v>416</v>
      </c>
      <c r="E20" s="45" t="s">
        <v>408</v>
      </c>
    </row>
    <row r="21" customFormat="false" ht="25.5" hidden="false" customHeight="true" outlineLevel="0" collapsed="false">
      <c r="A21" s="44" t="s">
        <v>417</v>
      </c>
      <c r="B21" s="41" t="s">
        <v>415</v>
      </c>
      <c r="C21" s="40" t="s">
        <v>228</v>
      </c>
      <c r="D21" s="42" t="s">
        <v>418</v>
      </c>
      <c r="E21" s="45" t="s">
        <v>408</v>
      </c>
    </row>
    <row r="22" customFormat="false" ht="25.5" hidden="false" customHeight="true" outlineLevel="0" collapsed="false">
      <c r="A22" s="44" t="s">
        <v>419</v>
      </c>
      <c r="B22" s="41" t="s">
        <v>415</v>
      </c>
      <c r="C22" s="40" t="s">
        <v>243</v>
      </c>
      <c r="D22" s="42" t="s">
        <v>420</v>
      </c>
      <c r="E22" s="45" t="s">
        <v>408</v>
      </c>
    </row>
    <row r="23" customFormat="false" ht="25.5" hidden="false" customHeight="true" outlineLevel="0" collapsed="false">
      <c r="A23" s="44" t="s">
        <v>421</v>
      </c>
      <c r="B23" s="41" t="s">
        <v>410</v>
      </c>
      <c r="C23" s="40" t="s">
        <v>228</v>
      </c>
      <c r="D23" s="42" t="s">
        <v>422</v>
      </c>
      <c r="E23" s="45" t="s">
        <v>408</v>
      </c>
    </row>
    <row r="24" customFormat="false" ht="25.5" hidden="false" customHeight="true" outlineLevel="0" collapsed="false">
      <c r="A24" s="44" t="s">
        <v>423</v>
      </c>
      <c r="B24" s="41" t="s">
        <v>410</v>
      </c>
      <c r="C24" s="40" t="s">
        <v>303</v>
      </c>
      <c r="D24" s="42" t="s">
        <v>424</v>
      </c>
      <c r="E24" s="45" t="s">
        <v>408</v>
      </c>
    </row>
    <row r="25" customFormat="false" ht="25.5" hidden="false" customHeight="true" outlineLevel="0" collapsed="false">
      <c r="A25" s="44" t="s">
        <v>425</v>
      </c>
      <c r="B25" s="41" t="s">
        <v>410</v>
      </c>
      <c r="C25" s="40" t="s">
        <v>289</v>
      </c>
      <c r="D25" s="42" t="s">
        <v>426</v>
      </c>
      <c r="E25" s="45" t="s">
        <v>408</v>
      </c>
    </row>
    <row r="26" customFormat="false" ht="21.75" hidden="false" customHeight="true" outlineLevel="0" collapsed="false">
      <c r="A26" s="7" t="s">
        <v>427</v>
      </c>
      <c r="B26" s="7"/>
      <c r="C26" s="7"/>
      <c r="D26" s="7"/>
      <c r="E26" s="7"/>
    </row>
    <row r="27" customFormat="false" ht="24" hidden="false" customHeight="true" outlineLevel="0" collapsed="false">
      <c r="A27" s="38" t="s">
        <v>428</v>
      </c>
      <c r="B27" s="39" t="s">
        <v>429</v>
      </c>
      <c r="C27" s="40"/>
      <c r="D27" s="41"/>
      <c r="E27" s="42"/>
    </row>
    <row r="28" customFormat="false" ht="24" hidden="false" customHeight="true" outlineLevel="0" collapsed="false">
      <c r="A28" s="38" t="s">
        <v>430</v>
      </c>
      <c r="B28" s="39" t="s">
        <v>429</v>
      </c>
      <c r="C28" s="40"/>
      <c r="D28" s="41"/>
      <c r="E28" s="42"/>
    </row>
    <row r="29" customFormat="false" ht="24" hidden="false" customHeight="true" outlineLevel="0" collapsed="false">
      <c r="A29" s="38" t="s">
        <v>431</v>
      </c>
      <c r="B29" s="39" t="s">
        <v>429</v>
      </c>
      <c r="C29" s="40"/>
      <c r="D29" s="41"/>
      <c r="E29" s="42"/>
    </row>
    <row r="30" customFormat="false" ht="24" hidden="false" customHeight="true" outlineLevel="0" collapsed="false">
      <c r="A30" s="38" t="s">
        <v>432</v>
      </c>
      <c r="B30" s="39" t="s">
        <v>429</v>
      </c>
      <c r="C30" s="40"/>
      <c r="D30" s="41"/>
      <c r="E30" s="42"/>
    </row>
    <row r="31" customFormat="false" ht="24" hidden="false" customHeight="true" outlineLevel="0" collapsed="false">
      <c r="A31" s="38" t="s">
        <v>433</v>
      </c>
      <c r="B31" s="39" t="s">
        <v>429</v>
      </c>
      <c r="C31" s="40"/>
      <c r="D31" s="41"/>
      <c r="E31" s="42"/>
    </row>
    <row r="32" customFormat="false" ht="21.75" hidden="false" customHeight="true" outlineLevel="0" collapsed="false">
      <c r="A32" s="27" t="s">
        <v>434</v>
      </c>
      <c r="B32" s="27"/>
      <c r="C32" s="27"/>
      <c r="D32" s="27"/>
      <c r="E32" s="27"/>
    </row>
    <row r="33" customFormat="false" ht="18" hidden="false" customHeight="true" outlineLevel="0" collapsed="false">
      <c r="A33" s="37" t="s">
        <v>435</v>
      </c>
      <c r="B33" s="46" t="s">
        <v>436</v>
      </c>
      <c r="C33" s="47" t="s">
        <v>437</v>
      </c>
      <c r="D33" s="46" t="s">
        <v>438</v>
      </c>
      <c r="E33" s="48"/>
    </row>
    <row r="34" customFormat="false" ht="18" hidden="false" customHeight="true" outlineLevel="0" collapsed="false">
      <c r="A34" s="4" t="s">
        <v>439</v>
      </c>
      <c r="B34" s="46" t="s">
        <v>436</v>
      </c>
      <c r="C34" s="47" t="s">
        <v>437</v>
      </c>
      <c r="D34" s="46" t="s">
        <v>438</v>
      </c>
      <c r="E34" s="48"/>
    </row>
    <row r="35" customFormat="false" ht="21.75" hidden="false" customHeight="true" outlineLevel="0" collapsed="false">
      <c r="A35" s="22" t="s">
        <v>440</v>
      </c>
      <c r="B35" s="22"/>
      <c r="C35" s="22"/>
      <c r="D35" s="22"/>
      <c r="E35" s="22"/>
    </row>
    <row r="36" customFormat="false" ht="18" hidden="false" customHeight="true" outlineLevel="0" collapsed="false">
      <c r="A36" s="49" t="s">
        <v>441</v>
      </c>
    </row>
    <row r="37" customFormat="false" ht="15" hidden="false" customHeight="false" outlineLevel="0" collapsed="false">
      <c r="B37" s="49" t="s">
        <v>442</v>
      </c>
    </row>
    <row r="38" customFormat="false" ht="15" hidden="false" customHeight="false" outlineLevel="0" collapsed="false">
      <c r="C38" s="49" t="s">
        <v>443</v>
      </c>
    </row>
    <row r="39" customFormat="false" ht="15" hidden="false" customHeight="false" outlineLevel="0" collapsed="false">
      <c r="D39" s="49" t="s">
        <v>444</v>
      </c>
    </row>
    <row r="40" customFormat="false" ht="15" hidden="false" customHeight="false" outlineLevel="0" collapsed="false">
      <c r="E40" s="49"/>
    </row>
    <row r="41" customFormat="false" ht="25.5" hidden="false" customHeight="true" outlineLevel="0" collapsed="false">
      <c r="A41" s="38" t="s">
        <v>445</v>
      </c>
      <c r="B41" s="39" t="s">
        <v>446</v>
      </c>
      <c r="C41" s="50" t="s">
        <v>447</v>
      </c>
      <c r="D41" s="48" t="s">
        <v>448</v>
      </c>
      <c r="E41" s="40"/>
    </row>
    <row r="42" customFormat="false" ht="25.5" hidden="false" customHeight="true" outlineLevel="0" collapsed="false">
      <c r="A42" s="38" t="s">
        <v>449</v>
      </c>
      <c r="B42" s="39" t="s">
        <v>450</v>
      </c>
      <c r="C42" s="50" t="s">
        <v>451</v>
      </c>
      <c r="D42" s="48" t="s">
        <v>452</v>
      </c>
      <c r="E42" s="40"/>
    </row>
    <row r="43" customFormat="false" ht="25.5" hidden="false" customHeight="true" outlineLevel="0" collapsed="false">
      <c r="A43" s="38" t="s">
        <v>453</v>
      </c>
      <c r="B43" s="39" t="s">
        <v>446</v>
      </c>
      <c r="C43" s="50" t="s">
        <v>454</v>
      </c>
      <c r="D43" s="48" t="s">
        <v>455</v>
      </c>
      <c r="E43" s="40"/>
    </row>
    <row r="44" customFormat="false" ht="25.5" hidden="false" customHeight="true" outlineLevel="0" collapsed="false">
      <c r="A44" s="38" t="s">
        <v>456</v>
      </c>
      <c r="B44" s="39" t="s">
        <v>457</v>
      </c>
      <c r="C44" s="50" t="s">
        <v>458</v>
      </c>
      <c r="D44" s="48" t="s">
        <v>459</v>
      </c>
      <c r="E44" s="40"/>
    </row>
    <row r="45" customFormat="false" ht="25.5" hidden="false" customHeight="true" outlineLevel="0" collapsed="false">
      <c r="A45" s="38" t="s">
        <v>460</v>
      </c>
      <c r="B45" s="39" t="s">
        <v>457</v>
      </c>
      <c r="C45" s="50" t="s">
        <v>461</v>
      </c>
      <c r="D45" s="48" t="s">
        <v>459</v>
      </c>
      <c r="E45" s="40"/>
    </row>
    <row r="46" customFormat="false" ht="25.5" hidden="false" customHeight="true" outlineLevel="0" collapsed="false">
      <c r="A46" s="38" t="s">
        <v>462</v>
      </c>
      <c r="B46" s="39" t="s">
        <v>463</v>
      </c>
      <c r="C46" s="50" t="s">
        <v>464</v>
      </c>
      <c r="D46" s="48" t="s">
        <v>465</v>
      </c>
      <c r="E46" s="40"/>
    </row>
    <row r="47" customFormat="false" ht="25.5" hidden="false" customHeight="true" outlineLevel="0" collapsed="false">
      <c r="A47" s="38" t="s">
        <v>466</v>
      </c>
      <c r="B47" s="39" t="s">
        <v>467</v>
      </c>
      <c r="C47" s="50" t="s">
        <v>468</v>
      </c>
      <c r="D47" s="48" t="s">
        <v>469</v>
      </c>
      <c r="E47" s="40"/>
    </row>
    <row r="48" customFormat="false" ht="13.5" hidden="false" customHeight="true" outlineLevel="0" collapsed="false">
      <c r="A48" s="26" t="s">
        <v>470</v>
      </c>
      <c r="B48" s="26"/>
      <c r="C48" s="26"/>
      <c r="D48" s="26"/>
      <c r="E48" s="26"/>
    </row>
  </sheetData>
  <mergeCells count="8">
    <mergeCell ref="A1:E1"/>
    <mergeCell ref="A2:E2"/>
    <mergeCell ref="A4:E4"/>
    <mergeCell ref="A15:E15"/>
    <mergeCell ref="A26:E26"/>
    <mergeCell ref="A32:E32"/>
    <mergeCell ref="A35:E35"/>
    <mergeCell ref="A48:E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7722"/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5"/>
  </cols>
  <sheetData>
    <row r="1" customFormat="false" ht="42" hidden="false" customHeight="true" outlineLevel="0" collapsed="false">
      <c r="A1" s="2" t="s">
        <v>471</v>
      </c>
      <c r="B1" s="2"/>
      <c r="C1" s="2"/>
      <c r="D1" s="2"/>
      <c r="E1" s="2"/>
    </row>
    <row r="2" customFormat="false" ht="15.75" hidden="false" customHeight="true" outlineLevel="0" collapsed="false">
      <c r="A2" s="3" t="s">
        <v>472</v>
      </c>
      <c r="B2" s="3"/>
      <c r="C2" s="3"/>
      <c r="D2" s="3"/>
      <c r="E2" s="3"/>
    </row>
    <row r="3" customFormat="false" ht="15" hidden="false" customHeight="true" outlineLevel="0" collapsed="false">
      <c r="A3" s="51" t="s">
        <v>473</v>
      </c>
    </row>
    <row r="4" customFormat="false" ht="15" hidden="false" customHeight="true" outlineLevel="0" collapsed="false">
      <c r="A4" s="52" t="s">
        <v>474</v>
      </c>
    </row>
    <row r="5" customFormat="false" ht="15" hidden="false" customHeight="true" outlineLevel="0" collapsed="false">
      <c r="A5" s="53" t="s">
        <v>475</v>
      </c>
    </row>
    <row r="6" customFormat="false" ht="15" hidden="false" customHeight="true" outlineLevel="0" collapsed="false">
      <c r="A6" s="53" t="s">
        <v>476</v>
      </c>
    </row>
    <row r="7" customFormat="false" ht="15" hidden="false" customHeight="true" outlineLevel="0" collapsed="false">
      <c r="A7" s="54"/>
    </row>
    <row r="8" customFormat="false" ht="15" hidden="false" customHeight="true" outlineLevel="0" collapsed="false">
      <c r="A8" s="55" t="s">
        <v>477</v>
      </c>
    </row>
    <row r="9" customFormat="false" ht="15" hidden="false" customHeight="true" outlineLevel="0" collapsed="false">
      <c r="A9" s="53" t="s">
        <v>478</v>
      </c>
    </row>
    <row r="10" customFormat="false" ht="15" hidden="false" customHeight="true" outlineLevel="0" collapsed="false">
      <c r="A10" s="53" t="s">
        <v>479</v>
      </c>
    </row>
    <row r="11" customFormat="false" ht="15" hidden="false" customHeight="true" outlineLevel="0" collapsed="false">
      <c r="A11" s="53" t="s">
        <v>480</v>
      </c>
    </row>
    <row r="12" customFormat="false" ht="15" hidden="false" customHeight="true" outlineLevel="0" collapsed="false">
      <c r="A12" s="53" t="s">
        <v>481</v>
      </c>
    </row>
    <row r="13" customFormat="false" ht="15" hidden="false" customHeight="true" outlineLevel="0" collapsed="false">
      <c r="A13" s="54"/>
    </row>
    <row r="14" customFormat="false" ht="15" hidden="false" customHeight="true" outlineLevel="0" collapsed="false">
      <c r="A14" s="53" t="s">
        <v>482</v>
      </c>
    </row>
    <row r="15" customFormat="false" ht="15" hidden="false" customHeight="true" outlineLevel="0" collapsed="false">
      <c r="A15" s="53" t="s">
        <v>483</v>
      </c>
    </row>
    <row r="16" customFormat="false" ht="15" hidden="false" customHeight="true" outlineLevel="0" collapsed="false">
      <c r="A16" s="53" t="s">
        <v>484</v>
      </c>
    </row>
    <row r="17" customFormat="false" ht="15" hidden="false" customHeight="true" outlineLevel="0" collapsed="false">
      <c r="A17" s="54"/>
    </row>
    <row r="18" customFormat="false" ht="15" hidden="false" customHeight="true" outlineLevel="0" collapsed="false">
      <c r="A18" s="55" t="s">
        <v>485</v>
      </c>
    </row>
    <row r="19" customFormat="false" ht="15" hidden="false" customHeight="true" outlineLevel="0" collapsed="false">
      <c r="A19" s="53" t="s">
        <v>486</v>
      </c>
    </row>
    <row r="20" customFormat="false" ht="15" hidden="false" customHeight="true" outlineLevel="0" collapsed="false">
      <c r="A20" s="54"/>
    </row>
    <row r="21" customFormat="false" ht="15" hidden="false" customHeight="true" outlineLevel="0" collapsed="false">
      <c r="A21" s="55" t="s">
        <v>487</v>
      </c>
    </row>
    <row r="22" customFormat="false" ht="15" hidden="false" customHeight="true" outlineLevel="0" collapsed="false">
      <c r="A22" s="53" t="s">
        <v>488</v>
      </c>
    </row>
    <row r="23" customFormat="false" ht="15" hidden="false" customHeight="true" outlineLevel="0" collapsed="false">
      <c r="A23" s="53" t="s">
        <v>489</v>
      </c>
    </row>
    <row r="24" customFormat="false" ht="15" hidden="false" customHeight="true" outlineLevel="0" collapsed="false">
      <c r="A24" s="53" t="s">
        <v>490</v>
      </c>
    </row>
    <row r="25" customFormat="false" ht="15" hidden="false" customHeight="true" outlineLevel="0" collapsed="false">
      <c r="A25" s="53" t="s">
        <v>491</v>
      </c>
    </row>
    <row r="26" customFormat="false" ht="15" hidden="false" customHeight="true" outlineLevel="0" collapsed="false">
      <c r="A26" s="54"/>
    </row>
    <row r="27" customFormat="false" ht="15" hidden="false" customHeight="true" outlineLevel="0" collapsed="false">
      <c r="A27" s="55" t="s">
        <v>492</v>
      </c>
    </row>
    <row r="28" customFormat="false" ht="15" hidden="false" customHeight="true" outlineLevel="0" collapsed="false">
      <c r="A28" s="53" t="s">
        <v>493</v>
      </c>
    </row>
    <row r="29" customFormat="false" ht="15" hidden="false" customHeight="true" outlineLevel="0" collapsed="false">
      <c r="A29" s="53" t="s">
        <v>494</v>
      </c>
    </row>
    <row r="30" customFormat="false" ht="15" hidden="false" customHeight="true" outlineLevel="0" collapsed="false">
      <c r="A30" s="53" t="s">
        <v>495</v>
      </c>
    </row>
    <row r="31" customFormat="false" ht="15" hidden="false" customHeight="true" outlineLevel="0" collapsed="false">
      <c r="A31" s="53" t="s">
        <v>496</v>
      </c>
    </row>
    <row r="32" customFormat="false" ht="15" hidden="false" customHeight="true" outlineLevel="0" collapsed="false">
      <c r="A32" s="54"/>
    </row>
    <row r="33" customFormat="false" ht="15" hidden="false" customHeight="true" outlineLevel="0" collapsed="false">
      <c r="A33" s="55" t="s">
        <v>497</v>
      </c>
    </row>
    <row r="34" customFormat="false" ht="15" hidden="false" customHeight="true" outlineLevel="0" collapsed="false">
      <c r="A34" s="53" t="s">
        <v>498</v>
      </c>
    </row>
    <row r="35" customFormat="false" ht="15" hidden="false" customHeight="true" outlineLevel="0" collapsed="false">
      <c r="A35" s="53" t="s">
        <v>499</v>
      </c>
    </row>
    <row r="36" customFormat="false" ht="15" hidden="false" customHeight="true" outlineLevel="0" collapsed="false">
      <c r="A36" s="53" t="s">
        <v>500</v>
      </c>
    </row>
    <row r="37" customFormat="false" ht="15" hidden="false" customHeight="true" outlineLevel="0" collapsed="false">
      <c r="A37" s="54"/>
    </row>
    <row r="38" customFormat="false" ht="15" hidden="false" customHeight="true" outlineLevel="0" collapsed="false">
      <c r="A38" s="55" t="s">
        <v>501</v>
      </c>
    </row>
    <row r="39" customFormat="false" ht="15" hidden="false" customHeight="true" outlineLevel="0" collapsed="false">
      <c r="A39" s="53" t="s">
        <v>502</v>
      </c>
    </row>
    <row r="40" customFormat="false" ht="15" hidden="false" customHeight="true" outlineLevel="0" collapsed="false">
      <c r="A40" s="54"/>
    </row>
    <row r="41" customFormat="false" ht="15" hidden="false" customHeight="true" outlineLevel="0" collapsed="false">
      <c r="A41" s="55" t="s">
        <v>503</v>
      </c>
    </row>
    <row r="42" customFormat="false" ht="15" hidden="false" customHeight="true" outlineLevel="0" collapsed="false">
      <c r="A42" s="56" t="s">
        <v>504</v>
      </c>
    </row>
    <row r="43" customFormat="false" ht="15" hidden="false" customHeight="true" outlineLevel="0" collapsed="false">
      <c r="A43" s="54"/>
    </row>
    <row r="44" customFormat="false" ht="15" hidden="false" customHeight="true" outlineLevel="0" collapsed="false">
      <c r="A44" s="55" t="s">
        <v>505</v>
      </c>
    </row>
    <row r="45" customFormat="false" ht="15" hidden="false" customHeight="true" outlineLevel="0" collapsed="false">
      <c r="A45" s="53" t="s">
        <v>506</v>
      </c>
    </row>
    <row r="46" customFormat="false" ht="15" hidden="false" customHeight="true" outlineLevel="0" collapsed="false">
      <c r="A46" s="53" t="s">
        <v>507</v>
      </c>
    </row>
    <row r="47" customFormat="false" ht="15" hidden="false" customHeight="true" outlineLevel="0" collapsed="false">
      <c r="A47" s="53" t="s">
        <v>508</v>
      </c>
    </row>
    <row r="48" customFormat="false" ht="15" hidden="false" customHeight="true" outlineLevel="0" collapsed="false">
      <c r="A48" s="53" t="s">
        <v>509</v>
      </c>
    </row>
    <row r="49" customFormat="false" ht="15" hidden="false" customHeight="true" outlineLevel="0" collapsed="false">
      <c r="A49" s="53" t="s">
        <v>510</v>
      </c>
    </row>
    <row r="50" customFormat="false" ht="15" hidden="false" customHeight="true" outlineLevel="0" collapsed="false">
      <c r="A50" s="53" t="s">
        <v>511</v>
      </c>
    </row>
    <row r="51" customFormat="false" ht="15" hidden="false" customHeight="true" outlineLevel="0" collapsed="false">
      <c r="A51" s="53" t="s">
        <v>512</v>
      </c>
    </row>
    <row r="52" customFormat="false" ht="15" hidden="false" customHeight="true" outlineLevel="0" collapsed="false">
      <c r="A52" s="53" t="s">
        <v>513</v>
      </c>
    </row>
    <row r="53" customFormat="false" ht="15" hidden="false" customHeight="true" outlineLevel="0" collapsed="false">
      <c r="A53" s="53" t="s">
        <v>514</v>
      </c>
    </row>
    <row r="54" customFormat="false" ht="15" hidden="false" customHeight="true" outlineLevel="0" collapsed="false">
      <c r="A54" s="53" t="s">
        <v>515</v>
      </c>
    </row>
    <row r="55" customFormat="false" ht="15" hidden="false" customHeight="true" outlineLevel="0" collapsed="false">
      <c r="A55" s="53" t="s">
        <v>516</v>
      </c>
    </row>
    <row r="56" customFormat="false" ht="15" hidden="false" customHeight="true" outlineLevel="0" collapsed="false">
      <c r="A56" s="53" t="s">
        <v>517</v>
      </c>
    </row>
    <row r="57" customFormat="false" ht="15" hidden="false" customHeight="true" outlineLevel="0" collapsed="false">
      <c r="A57" s="53" t="s">
        <v>518</v>
      </c>
    </row>
    <row r="58" customFormat="false" ht="15" hidden="false" customHeight="true" outlineLevel="0" collapsed="false">
      <c r="A58" s="53" t="s">
        <v>519</v>
      </c>
    </row>
    <row r="59" customFormat="false" ht="15" hidden="false" customHeight="true" outlineLevel="0" collapsed="false">
      <c r="A59" s="53" t="s">
        <v>520</v>
      </c>
    </row>
    <row r="60" customFormat="false" ht="15" hidden="false" customHeight="true" outlineLevel="0" collapsed="false">
      <c r="A60" s="53" t="s">
        <v>521</v>
      </c>
    </row>
    <row r="61" customFormat="false" ht="15" hidden="false" customHeight="true" outlineLevel="0" collapsed="false">
      <c r="A61" s="53" t="s">
        <v>522</v>
      </c>
    </row>
    <row r="62" customFormat="false" ht="15" hidden="false" customHeight="true" outlineLevel="0" collapsed="false">
      <c r="A62" s="53" t="s">
        <v>523</v>
      </c>
    </row>
    <row r="63" customFormat="false" ht="15" hidden="false" customHeight="true" outlineLevel="0" collapsed="false">
      <c r="A63" s="53" t="s">
        <v>524</v>
      </c>
    </row>
    <row r="64" customFormat="false" ht="15" hidden="false" customHeight="true" outlineLevel="0" collapsed="false">
      <c r="A64" s="53" t="s">
        <v>525</v>
      </c>
    </row>
    <row r="65" customFormat="false" ht="15" hidden="false" customHeight="true" outlineLevel="0" collapsed="false">
      <c r="A65" s="57" t="s">
        <v>526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2026-04-15T11:06:41Z</dcterms:created>
  <dc:creator>openpyxl</dc:creator>
  <dc:description/>
  <dc:language>en-US</dc:language>
  <cp:lastModifiedBy/>
  <dcterms:modified xsi:type="dcterms:W3CDTF">2026-04-15T12:31:31Z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