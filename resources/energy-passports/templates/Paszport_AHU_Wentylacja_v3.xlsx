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KIETA_ETAP1" sheetId="1" state="visible" r:id="rId3"/>
    <sheet name="DANE_DTR_ETAP2" sheetId="2" state="visible" r:id="rId4"/>
    <sheet name="PASZPORT" sheetId="3" state="visible" r:id="rId5"/>
    <sheet name="SYSTEM_PROMP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<sst xmlns="http://schemas.openxmlformats.org/spreadsheetml/2006/main" count="602" uniqueCount="495">
  <si>
    <t xml:space="preserve">ENESA  ·  PASZPORT URZĄDZENIA WENTYLACYJNEGO AHU  ·  A-EnMS-VAC-01  ·  ANKIETA ETAP 1</t>
  </si>
  <si>
    <t xml:space="preserve">Wypełnia: Pracownik UR na hali  ·  Pola ŻÓŁTE = wpisz  ·  ŚCIEŻKA A = wentylator, ŚCIEŻKA B = centrala AHU</t>
  </si>
  <si>
    <t xml:space="preserve">KOD QR / ID AHU:</t>
  </si>
  <si>
    <t xml:space="preserve">Data Etap 1:</t>
  </si>
  <si>
    <t xml:space="preserve">Pracownik UR:</t>
  </si>
  <si>
    <t xml:space="preserve">Nr</t>
  </si>
  <si>
    <t xml:space="preserve">Pytanie / Obserwacja</t>
  </si>
  <si>
    <t xml:space="preserve">Odpowiedź (wpisz)</t>
  </si>
  <si>
    <t xml:space="preserve">Jedn.</t>
  </si>
  <si>
    <t xml:space="preserve">Wskazówka</t>
  </si>
  <si>
    <t xml:space="preserve">  PYTANIE ZEROWE — KLASYFIKACJA ŚCIEŻKI (odpowiedz przed przejściem dalej!)</t>
  </si>
  <si>
    <t xml:space="preserve">P-00</t>
  </si>
  <si>
    <t xml:space="preserve">Co widzisz przed sobą?
A) Samodzielny WENTYLATOR (silnik + wirnik, bez dużej obudowy)
B) CENTRALA WENTYLACYJNA AHU (prostopadłościan/skrzynka, kanały po obu stronach)
C) KLIMAKONWEKTOR / SPLIT (jednostka ścienna, sufitowa lub podłogowa)
D) Nie jestem pewien — opiszę co widzę</t>
  </si>
  <si>
    <t xml:space="preserve">A→ŚCIEŻKA A poniżej  ·  B→ŚCIEŻKA B  ·  C→ŚCIEŻKA C  ·  D→opisz</t>
  </si>
  <si>
    <t xml:space="preserve">  ŚCIEŻKA A — WENTYLATOR SAMODZIELNY (tylko jeśli wybrałeś A powyżej)</t>
  </si>
  <si>
    <t xml:space="preserve">A-01</t>
  </si>
  <si>
    <t xml:space="preserve">Odczytaj z tabliczki na SILNIKU: moc [kW] i obroty [RPM]</t>
  </si>
  <si>
    <t xml:space="preserve">kW / RPM</t>
  </si>
  <si>
    <t xml:space="preserve">Tabliczka na silniku elektrycznym — metal lub naklejka na obudowie silnika</t>
  </si>
  <si>
    <t xml:space="preserve">A-02</t>
  </si>
  <si>
    <t xml:space="preserve">Czy obok silnika jest falownik VFD? (skrzynka elektroniczna z wyświetlaczem)</t>
  </si>
  <si>
    <t xml:space="preserve">TAK — opisz (kolor, marka jeśli widoczna) / NIE / NIE WIEM</t>
  </si>
  <si>
    <t xml:space="preserve">A-03</t>
  </si>
  <si>
    <t xml:space="preserve">Oceń średnicę wirnika wentylatora</t>
  </si>
  <si>
    <t xml:space="preserve">&lt;300mm (mały) / 300-600mm (średni) / &gt;600mm (duży) — ocena wzrokowa</t>
  </si>
  <si>
    <t xml:space="preserve">A-04</t>
  </si>
  <si>
    <t xml:space="preserve">Gdzie wentylator jest zamontowany i co obsługuje?</t>
  </si>
  <si>
    <t xml:space="preserve">Np: dach — wentylacja ogólna hali / ściana — odciąg pomieszczeń socjalnych / kanał — nawiew biur</t>
  </si>
  <si>
    <t xml:space="preserve">A-05</t>
  </si>
  <si>
    <t xml:space="preserve">Czy wentylator pracuje teraz? Oceń głośność.</t>
  </si>
  <si>
    <t xml:space="preserve">Cichy / Słyszalny / Głośny / Bardzo głośny. Nieprawidłowe: stuki, piski, wibracje</t>
  </si>
  <si>
    <t xml:space="preserve">A-06</t>
  </si>
  <si>
    <t xml:space="preserve">Widoczne uszkodzenia mechaniczne?</t>
  </si>
  <si>
    <t xml:space="preserve">NIE / TAK — opisz: rdza, pęknięcia, luźne śruby, uszkodzone łopatki wirnika</t>
  </si>
  <si>
    <t xml:space="preserve">A-07</t>
  </si>
  <si>
    <t xml:space="preserve">Czy jest jakaś filtracja powietrza przed wentylatorem?</t>
  </si>
  <si>
    <t xml:space="preserve">Krata z siatką / Filtr kieszeniowy / Brak / Nie wiem</t>
  </si>
  <si>
    <t xml:space="preserve">A-08</t>
  </si>
  <si>
    <t xml:space="preserve">Kiedy był ostatni przegląd serwisowy?</t>
  </si>
  <si>
    <t xml:space="preserve">Data lub 'nie wiem'</t>
  </si>
  <si>
    <t xml:space="preserve">  ŚCIEŻKA B — CENTRALA WENTYLACYJNA AHU (tylko jeśli wybrałeś B powyżej)</t>
  </si>
  <si>
    <t xml:space="preserve">    B1 — IDENTYFIKACJA AHU</t>
  </si>
  <si>
    <t xml:space="preserve">B-01</t>
  </si>
  <si>
    <t xml:space="preserve">Producent, model, rok produkcji, numer seryjny (z tabliczki na obudowie)</t>
  </si>
  <si>
    <t xml:space="preserve">Jeśli brak tabliczki — wpisz 'brak tabliczki'. Producenci: Swegon, Systemair, VTS, Daikin, Flaktgroup, Klimor, Robatherm</t>
  </si>
  <si>
    <t xml:space="preserve">B-02</t>
  </si>
  <si>
    <t xml:space="preserve">Gdzie zainstalowana jest centrala?</t>
  </si>
  <si>
    <t xml:space="preserve">Maszynownia dachu / Piwnica / Pomieszczenie techniczne / Hala / Kanał / Zewnątrz</t>
  </si>
  <si>
    <t xml:space="preserve">B-03</t>
  </si>
  <si>
    <t xml:space="preserve">Co obsługuje ta centrala? Opisz strefy / pomieszczenia.</t>
  </si>
  <si>
    <t xml:space="preserve">Np: hala produkcyjna A (2400m²) / biura piętra 1 / cały budynek / linia malarska</t>
  </si>
  <si>
    <t xml:space="preserve">B-04</t>
  </si>
  <si>
    <t xml:space="preserve">Jakie kanały są podłączone?</t>
  </si>
  <si>
    <t xml:space="preserve">A) Nawiewne I wywiewne (pełna naw-wyw) / B) Tylko nawiew / C) Tylko wywiew / D) Nie wiem</t>
  </si>
  <si>
    <t xml:space="preserve">    B2 — WENTYLATORY W CENTRALI</t>
  </si>
  <si>
    <t xml:space="preserve">B-05</t>
  </si>
  <si>
    <t xml:space="preserve">Ile wentylatorów widzisz w centrali?</t>
  </si>
  <si>
    <t xml:space="preserve">szt.</t>
  </si>
  <si>
    <t xml:space="preserve">1 nawiewny / 1 nawiewny + 1 wywiewny / inaczej — opisz</t>
  </si>
  <si>
    <t xml:space="preserve">B-06</t>
  </si>
  <si>
    <t xml:space="preserve">Czy przy silnikach są falowniki VFD? (osobno dla nawiewu i wyciągu)</t>
  </si>
  <si>
    <t xml:space="preserve">TAK nawiew / TAK wyciąg / NIE nawiew / NIE wyciąg. Falownik = skrzynka elektroniczna z wyświetlaczem</t>
  </si>
  <si>
    <t xml:space="preserve">B-07</t>
  </si>
  <si>
    <t xml:space="preserve">Czy centrala ma panel sterowania / wyświetlacz na obudowie?</t>
  </si>
  <si>
    <t xml:space="preserve">TAK — przepisz wyświetlane wartości (temp, prędkość, alarm) / NIE</t>
  </si>
  <si>
    <t xml:space="preserve">B-08</t>
  </si>
  <si>
    <t xml:space="preserve">Czy wentylatory pracują teraz? Ocena hałasu.</t>
  </si>
  <si>
    <t xml:space="preserve">Cichy / Głośny / Są alarmy świetlne / Nie pracują</t>
  </si>
  <si>
    <t xml:space="preserve">B-09</t>
  </si>
  <si>
    <t xml:space="preserve">Stan wentylatora — ocena wizualna</t>
  </si>
  <si>
    <t xml:space="preserve">Rdza na obudowie? / Ślady oleju lub cieczy? / Wibracje wyczuwalne dotykiem? / Pasy napędowe — całe czy spękane?</t>
  </si>
  <si>
    <t xml:space="preserve">    B3 — REKUPERACJA CIEPŁA</t>
  </si>
  <si>
    <t xml:space="preserve">B-10</t>
  </si>
  <si>
    <t xml:space="preserve">Czy widzisz sekcję rekuperatora (odzysk ciepła)?</t>
  </si>
  <si>
    <t xml:space="preserve">A) Płytowy — aluminiowe płyty ułożone krzyżowo (blok metalowy)
B) Obrotowy — duże koło powoli obracające się (rotor)
C) Tak, ale nie wiem jakiego typu
D) Nie widzę rekuperatora</t>
  </si>
  <si>
    <t xml:space="preserve">B-11</t>
  </si>
  <si>
    <t xml:space="preserve">Rekuperator — ocena wizualna czystości</t>
  </si>
  <si>
    <t xml:space="preserve">Czysty / Lekko zabrudzony / Silnie zabrudzony (kurz, osady) / Brak dostępu</t>
  </si>
  <si>
    <t xml:space="preserve">B-12</t>
  </si>
  <si>
    <t xml:space="preserve">Czy jest sekcja bypass (klapa omijająca rekuperator)?</t>
  </si>
  <si>
    <t xml:space="preserve">TAK — widoczna klapa / NIE / Nie wiem. Bypass potrzebny latem gdy temp. zewnętrzna &gt; wewnętrznej</t>
  </si>
  <si>
    <t xml:space="preserve">    B4 — FILTRY POWIETRZA</t>
  </si>
  <si>
    <t xml:space="preserve">B-13</t>
  </si>
  <si>
    <t xml:space="preserve">Ile sekcji filtrów widzisz?</t>
  </si>
  <si>
    <t xml:space="preserve">1 stopień (filtr wstępny) / 2 stopnie (wstępny + końcowy) / Nie wiem</t>
  </si>
  <si>
    <t xml:space="preserve">B-14</t>
  </si>
  <si>
    <t xml:space="preserve">Stan wizualny filtrów</t>
  </si>
  <si>
    <t xml:space="preserve">A) Szare/brązowe — wyraźnie brudne, wymagają wymiany
B) Lekko zabarwione — jeszcze sprawne
C) Czyste / nowe
D) Brak dostępu do oceny</t>
  </si>
  <si>
    <t xml:space="preserve">B-15</t>
  </si>
  <si>
    <t xml:space="preserve">Czy jest manometr lub wyświetlacz pokazujący różnicę ciśnień na filtrze (ΔP)?</t>
  </si>
  <si>
    <t xml:space="preserve">TAK — podaj odczytaną wartość [Pa lub bar] / NIE</t>
  </si>
  <si>
    <t xml:space="preserve">B-16</t>
  </si>
  <si>
    <t xml:space="preserve">Data ostatniej wymiany filtrów (z naklejki lub informacji obsługi)</t>
  </si>
  <si>
    <t xml:space="preserve">Naklejka z datą lub informacja od operatora. Jeśli brak: 'nie wiadomo'</t>
  </si>
  <si>
    <t xml:space="preserve">    B5 — NAGRZEWNICA, CHŁODNICA, NAWILŻACZ</t>
  </si>
  <si>
    <t xml:space="preserve">B-17</t>
  </si>
  <si>
    <t xml:space="preserve">Czy widzisz sekcję nagrzewnicy?</t>
  </si>
  <si>
    <t xml:space="preserve">A) Wodna — rury podłączone do c.o. + żeberka
B) Elektryczna — widoczne grzałki elektryczne
C) Nie wiem
D) Brak nagrzewnicy</t>
  </si>
  <si>
    <t xml:space="preserve">B-18</t>
  </si>
  <si>
    <t xml:space="preserve">Czy widzisz sekcję chłodnicy?</t>
  </si>
  <si>
    <t xml:space="preserve">A) Wodna — rury z wodą chłodzoną (chiller) + tacka ociekowa pod spodem
B) DX — bezpośrednie odparowanie (rury freonowe, brak wody)
C) Brak / Nie wiem</t>
  </si>
  <si>
    <t xml:space="preserve">B-19</t>
  </si>
  <si>
    <t xml:space="preserve">Czy widzisz nawilżacz?</t>
  </si>
  <si>
    <t xml:space="preserve">TAK — dysze wodne (adiabatyczny) / TAK — element parowy / NIE / Nie wiem</t>
  </si>
  <si>
    <t xml:space="preserve">    B6 — AUTOMATYKA I BMS</t>
  </si>
  <si>
    <t xml:space="preserve">B-20</t>
  </si>
  <si>
    <t xml:space="preserve">Czy centrala ma lokalny sterownik/termostat z wyświetlaczem?</t>
  </si>
  <si>
    <t xml:space="preserve">TAK — przepisz wyświetlane wartości / NIE</t>
  </si>
  <si>
    <t xml:space="preserve">B-21</t>
  </si>
  <si>
    <t xml:space="preserve">Czy widzisz kable komunikacyjne (ethernet RJ45, Modbus, BACnet)?</t>
  </si>
  <si>
    <t xml:space="preserve">TAK — centrala podłączona do BMS / Tylko kable elektryczne / Nie wiem</t>
  </si>
  <si>
    <t xml:space="preserve">B-22</t>
  </si>
  <si>
    <t xml:space="preserve">Czy są czujniki w obsługiwanych pomieszczeniach?</t>
  </si>
  <si>
    <t xml:space="preserve">TAK CO₂ / TAK temperatura / TAK wilgotność / NIE / Nie wiem</t>
  </si>
  <si>
    <t xml:space="preserve">B-23</t>
  </si>
  <si>
    <t xml:space="preserve">Harmonogram pracy centrali</t>
  </si>
  <si>
    <t xml:space="preserve">A) 24/7 bez zatrzymania
B) Wyłącza się w nocy / weekendy
C) Pracuje wg harmonogramu BMS
D) Nie wiem</t>
  </si>
  <si>
    <t xml:space="preserve">    B7 — KANAŁY I DYSTRYBUCJA POWIETRZA</t>
  </si>
  <si>
    <t xml:space="preserve">B-24</t>
  </si>
  <si>
    <t xml:space="preserve">Materiał kanałów wentylacyjnych</t>
  </si>
  <si>
    <t xml:space="preserve">Stal ocynkowana / Aluminium / Flex (elastyczny) / Tworzywo / Nie wiem</t>
  </si>
  <si>
    <t xml:space="preserve">B-25</t>
  </si>
  <si>
    <t xml:space="preserve">Czy kanały mają izolację termiczną?</t>
  </si>
  <si>
    <t xml:space="preserve">TAK — cała trasa / Częściowo / NIE — gołe kanały bez izolacji</t>
  </si>
  <si>
    <t xml:space="preserve">B-26</t>
  </si>
  <si>
    <t xml:space="preserve">Widoczne uszkodzenia kanałów?</t>
  </si>
  <si>
    <t xml:space="preserve">NIE / TAK — opisz: odkształcenia, brak izolacji, nieszczelności, rdza</t>
  </si>
  <si>
    <t xml:space="preserve">B-27</t>
  </si>
  <si>
    <t xml:space="preserve">Czy w obsługiwanych pomieszczeniach działają anemostaty / kratki?</t>
  </si>
  <si>
    <t xml:space="preserve">TAK — czuć przepływ przy kratce / Słabo / NIE / Nie sprawdzałem</t>
  </si>
  <si>
    <t xml:space="preserve">    B8 — OCENA OGÓLNA AHU</t>
  </si>
  <si>
    <t xml:space="preserve">B-28</t>
  </si>
  <si>
    <t xml:space="preserve">Ogólna ocena stanu technicznego centrali (1-5)</t>
  </si>
  <si>
    <t xml:space="preserve">1=bardzo zły / 2=zły / 3=średni / 4=dobry / 5=bardzo dobry (jak nowy)</t>
  </si>
  <si>
    <t xml:space="preserve">B-29</t>
  </si>
  <si>
    <t xml:space="preserve">Awarie centrali w ostatnich 12 miesiącach?</t>
  </si>
  <si>
    <t xml:space="preserve">NIE / TAK — opisz przyczynę i czas trwania</t>
  </si>
  <si>
    <t xml:space="preserve">B-30</t>
  </si>
  <si>
    <t xml:space="preserve">Data ostatniego przeglądu serwisowego</t>
  </si>
  <si>
    <t xml:space="preserve">DD.MM.RRRR lub 'nie wiem'</t>
  </si>
  <si>
    <t xml:space="preserve">B-31</t>
  </si>
  <si>
    <t xml:space="preserve">Twoje własne obserwacje — co zwróciło uwagę?</t>
  </si>
  <si>
    <t xml:space="preserve">Hałas, zapach, wibracje, rdza, cokolwiek nieprawidłowego. Możesz dołączyć zdjęcia.</t>
  </si>
  <si>
    <t xml:space="preserve">B-32</t>
  </si>
  <si>
    <t xml:space="preserve">Czy jest dostępna dokumentacja techniczna (DTR / IOM Manual)?</t>
  </si>
  <si>
    <t xml:space="preserve">TAK — w biurze / TAK — na miejscu / NIE / Nie wiem. Potrzebna do Etapu 2</t>
  </si>
  <si>
    <t xml:space="preserve">  ENESA  ·  A-EnMS-VAC-01  ·  ANKIETA ETAP 1  ·  Wersja 3.0  ·  PN-EN 1886 · PN-EN 13053+A1 · EN 16798-1</t>
  </si>
  <si>
    <t xml:space="preserve">ENESA  ·  PASZPORT AHU  ·  A-EnMS-VAC-01  ·  ETAP 2 — DANE Z DTR (Energy Manager)</t>
  </si>
  <si>
    <t xml:space="preserve">Wypełnia: Energy Manager w biurze z DTR urządzenia  ·  PN-EN 1886 · PN-EN 13053+A1 · EN 16798-1:2019</t>
  </si>
  <si>
    <t xml:space="preserve">Parametr (z DTR)</t>
  </si>
  <si>
    <t xml:space="preserve">Wartość</t>
  </si>
  <si>
    <t xml:space="preserve">Norma / Źródło</t>
  </si>
  <si>
    <t xml:space="preserve">Wskazówka / Wzór obliczeniowy</t>
  </si>
  <si>
    <t xml:space="preserve">  B1 — DANE IDENTYFIKACYJNE I KLASYFIKACJA (z DTR str. 1)</t>
  </si>
  <si>
    <t xml:space="preserve">Producent AHU</t>
  </si>
  <si>
    <t xml:space="preserve">DTR str.1 / tabliczka</t>
  </si>
  <si>
    <t xml:space="preserve">np. Swegon, Systemair, Daikin, VTS, Flaktgroup, Klimor, Robatherm, Wolf</t>
  </si>
  <si>
    <t xml:space="preserve">Model / typ centrali</t>
  </si>
  <si>
    <t xml:space="preserve">DTR str.1</t>
  </si>
  <si>
    <t xml:space="preserve">Pełne oznaczenie: np. GOLD RX 04, COMBI 1200, AHU-B-3000</t>
  </si>
  <si>
    <t xml:space="preserve">Rok produkcji</t>
  </si>
  <si>
    <t xml:space="preserve">rok</t>
  </si>
  <si>
    <t xml:space="preserve">Tabliczka / DTR</t>
  </si>
  <si>
    <t xml:space="preserve">Z tabliczki lub numeru seryjnego</t>
  </si>
  <si>
    <t xml:space="preserve">Numer seryjny</t>
  </si>
  <si>
    <t xml:space="preserve">Tabliczka znamionowa</t>
  </si>
  <si>
    <t xml:space="preserve">Unikalny identyfikator — do historii serwisowej</t>
  </si>
  <si>
    <t xml:space="preserve">Klasa energetyczna AHU wg EN 13053</t>
  </si>
  <si>
    <t xml:space="preserve">PN-EN 13053+A1</t>
  </si>
  <si>
    <t xml:space="preserve">A+, A, B, C, D, E, F lub G — z karty produktu lub certyfikatu. A+ = najlepsza</t>
  </si>
  <si>
    <t xml:space="preserve">Typ jednostki</t>
  </si>
  <si>
    <t xml:space="preserve">DTR</t>
  </si>
  <si>
    <t xml:space="preserve">Nawiewno-wywiewna (2-kanałowa) / Nawiewna / Wywiewna / Recyrkulacyjna</t>
  </si>
  <si>
    <t xml:space="preserve">  B2 — PARAMETRY PRZEPŁYWU POWIETRZA · EN 16798-1</t>
  </si>
  <si>
    <t xml:space="preserve">Nominalny przepływ nawiewu</t>
  </si>
  <si>
    <t xml:space="preserve">m³/h</t>
  </si>
  <si>
    <t xml:space="preserve">DTR karta doboru</t>
  </si>
  <si>
    <t xml:space="preserve">Przy ciśnieniu nominalnym. Przelicznik: m³/h = m³/s × 3600</t>
  </si>
  <si>
    <t xml:space="preserve">Nominalny przepływ wyciągu</t>
  </si>
  <si>
    <t xml:space="preserve">Często = nawiew ±10%. Nierównowaga → nadciśnienie lub podciśnienie w strefie</t>
  </si>
  <si>
    <t xml:space="preserve">Dyspozycyjne ciśnienie — nawiew (spręż)</t>
  </si>
  <si>
    <t xml:space="preserve">Pa</t>
  </si>
  <si>
    <t xml:space="preserve">Ciśnienie do pokonania przez sieć kanałów. Typowo 200-1000 Pa</t>
  </si>
  <si>
    <t xml:space="preserve">Dyspozycyjne ciśnienie — wyciąg</t>
  </si>
  <si>
    <t xml:space="preserve">Obsługiwana powierzchnia netto</t>
  </si>
  <si>
    <t xml:space="preserve">m²</t>
  </si>
  <si>
    <t xml:space="preserve">Projekt instalacji</t>
  </si>
  <si>
    <t xml:space="preserve">Suma pomieszczeń objętych tym systemem wentylacji</t>
  </si>
  <si>
    <t xml:space="preserve">Obsługiwana kubatura</t>
  </si>
  <si>
    <t xml:space="preserve">m³</t>
  </si>
  <si>
    <t xml:space="preserve">Projekt</t>
  </si>
  <si>
    <t xml:space="preserve"> = powierzchnia × średnia wysokość pomieszczeń</t>
  </si>
  <si>
    <t xml:space="preserve">Typ regulacji przepływu</t>
  </si>
  <si>
    <t xml:space="preserve">PN-EN 13053</t>
  </si>
  <si>
    <t xml:space="preserve">CAV = stały przepływ (constant air volume) / VAV = zmienny (variable air volume) / Brak regulacji</t>
  </si>
  <si>
    <t xml:space="preserve">Projektowana wymiana powietrza</t>
  </si>
  <si>
    <t xml:space="preserve">1/h</t>
  </si>
  <si>
    <t xml:space="preserve">EN 16798-1</t>
  </si>
  <si>
    <t xml:space="preserve"> = Q_nawiew [m³/h] / kubatura [m³]. Typowe: biura 2-3/h, hale 4-8/h</t>
  </si>
  <si>
    <t xml:space="preserve">Strumień powietrza na osobę (zaprojektowany)</t>
  </si>
  <si>
    <t xml:space="preserve">l/s/os</t>
  </si>
  <si>
    <t xml:space="preserve">Kat. I: &gt;10 l/s/os · Kat. II: &gt;7 l/s/os · Kat. III: &gt;4 l/s/os</t>
  </si>
  <si>
    <t xml:space="preserve">  B3 — WENTYLATORY — SFP I SPRAWNOŚĆ · PN-EN 13053+A1</t>
  </si>
  <si>
    <t xml:space="preserve">  SFP (Specific Fan Power) = (P_nawiew [W] + P_wyciąg [W]) / V_nawiew [m³/s]  ·  Benchmarki EN 13053: SFP1 &lt;500 W/(m³/s) = bardzo dobry · SFP3 &lt;1250 · SFP5 &lt;2000 · &gt;2000 = zły</t>
  </si>
  <si>
    <t xml:space="preserve">Moc silnika wentylatora NAWIEWNEGO</t>
  </si>
  <si>
    <t xml:space="preserve">kW</t>
  </si>
  <si>
    <t xml:space="preserve">Tabliczka silnika / DTR</t>
  </si>
  <si>
    <t xml:space="preserve">Odczytana w Etapie 1 (B-05). Z tabliczki: 'kW' lub 'HP' (×0.746)</t>
  </si>
  <si>
    <t xml:space="preserve">Moc silnika wentylatora WYWIEWNEGO</t>
  </si>
  <si>
    <t xml:space="preserve">0 jeśli brak wentylatora wywiewnego</t>
  </si>
  <si>
    <t xml:space="preserve">Sprawność wentylatora nawiewnego (η_total)</t>
  </si>
  <si>
    <t xml:space="preserve">%</t>
  </si>
  <si>
    <t xml:space="preserve">DTR — karta doboru</t>
  </si>
  <si>
    <t xml:space="preserve">Sprawność całkowita (silnik + wirnik + przeniesienie). Typowo 65-82%</t>
  </si>
  <si>
    <t xml:space="preserve">Sprawność wentylatora wywiewnego (η_total)</t>
  </si>
  <si>
    <t xml:space="preserve">Falownik VFD — nawiew (TAK/NIE)</t>
  </si>
  <si>
    <t xml:space="preserve">Etap 1 B-06 / DTR</t>
  </si>
  <si>
    <t xml:space="preserve">Potwierdzenie z Etapu 1</t>
  </si>
  <si>
    <t xml:space="preserve">Falownik VFD — wyciąg (TAK/NIE)</t>
  </si>
  <si>
    <t xml:space="preserve">Producent i typ falownika (jeśli jest)</t>
  </si>
  <si>
    <t xml:space="preserve">DTR / tabliczka VFD</t>
  </si>
  <si>
    <t xml:space="preserve">np. Danfoss FC102, ABB ACS580, Siemens G120</t>
  </si>
  <si>
    <t xml:space="preserve">SFP nawiewu [W/(m³/s)]</t>
  </si>
  <si>
    <t xml:space="preserve">W/(m³/s)</t>
  </si>
  <si>
    <t xml:space="preserve">PN-EN 13053+A1 OBLICZONA</t>
  </si>
  <si>
    <t xml:space="preserve"> SFP_nawiew = P_silnik_W / V_m3s</t>
  </si>
  <si>
    <t xml:space="preserve">SFP wyciągu [W/(m³/s)]</t>
  </si>
  <si>
    <t xml:space="preserve"> SFP_wyciąg = P_silnik_W / V_m3s</t>
  </si>
  <si>
    <t xml:space="preserve">SFP_system łączny [W/(m³/s)]</t>
  </si>
  <si>
    <t xml:space="preserve"> SFP_system = SFP_nawiew + SFP_wyciąg</t>
  </si>
  <si>
    <t xml:space="preserve">Klasa SFP wg EN 13053</t>
  </si>
  <si>
    <t xml:space="preserve">SFP1=najlepsza (&lt; 500) do SFP7=najgorsza (&gt; 2000)</t>
  </si>
  <si>
    <t xml:space="preserve">  B4 — ODZYSK CIEPŁA — ESHRE I SPRAWNOŚĆ · PN-EN 13053+A1</t>
  </si>
  <si>
    <t xml:space="preserve">  ESHRE (Effective Seasonal Heat Recovery Efficiency) = roczna sprawność odzysku ciepła  ·  η_t = (T_nawiew - T_zewn) / (T_wyciąg - T_zewn) × 100%  ·  Benchmark: η_t &lt; 50% słaba · 50-70% przeciętna · &gt; 75% dobra · &gt; 85% bardzo dobra (obrotowy)</t>
  </si>
  <si>
    <t xml:space="preserve">Typ rekuperatora</t>
  </si>
  <si>
    <t xml:space="preserve">Płytowy przeciwprądowy / Krzyżowy / Obrotowy (rotacyjny) / GWC (gruntowy) / Brak</t>
  </si>
  <si>
    <t xml:space="preserve">Deklarowana sprawność temperaturowa η_t</t>
  </si>
  <si>
    <t xml:space="preserve">DTR / EN 308</t>
  </si>
  <si>
    <t xml:space="preserve">Wg EN 308 — warunki standardowe. Najważniejszy parametr rekuperatora</t>
  </si>
  <si>
    <t xml:space="preserve">Deklarowana sprawność entalpiowa η_h</t>
  </si>
  <si>
    <t xml:space="preserve">Tylko dla wymienników z odzyskiem wilgoci (celuloza, polimerowe). Wpisz 0 jeśli nie dotyczy</t>
  </si>
  <si>
    <t xml:space="preserve">ESHRE — roczna efektywność odzysku ciepła</t>
  </si>
  <si>
    <t xml:space="preserve">Z karty produktu lub obliczeń sezonowych. Wyższy ESHRE = mniej energii na ogrzewanie nawiewu</t>
  </si>
  <si>
    <t xml:space="preserve">Materiał wymiennika</t>
  </si>
  <si>
    <t xml:space="preserve">Aluminium / Stal nierdzewna / Tworzywo (polimer) / Celuloza (z odz. wilgoci)</t>
  </si>
  <si>
    <t xml:space="preserve">Bypass letni — klapa bypasująca rekuperator</t>
  </si>
  <si>
    <t xml:space="preserve">DTR / Etap 1 B-12</t>
  </si>
  <si>
    <t xml:space="preserve">TAK — automatyczny / TAK — ręczny / NIE. Bypass niezbędny gdy T_zewn &gt; T_wewn</t>
  </si>
  <si>
    <t xml:space="preserve">Automatyczne odszranianie</t>
  </si>
  <si>
    <t xml:space="preserve">TAK (klapa/grzałka/cykl) / NIE. Brak = zamarzanie płytowego rekuperatora przy T&lt;-5°C</t>
  </si>
  <si>
    <t xml:space="preserve">Data ostatniego czyszczenia wymiennika</t>
  </si>
  <si>
    <t xml:space="preserve">Rejestr serwisu</t>
  </si>
  <si>
    <t xml:space="preserve">DD.MM.RRRR lub 'brak danych'. Brudny rekuperator = niższa sprawność</t>
  </si>
  <si>
    <t xml:space="preserve">  B5 — FILTRY · PN-EN ISO 16890 · PN-EN 1886</t>
  </si>
  <si>
    <t xml:space="preserve">  Stara klasyfikacja (EN 779): G4, F5, F7, F9  →  Nowa (EN ISO 16890): ePM10, ePM2.5, ePM1  ·  ΔP_alarm = różnica ciśnień przy zapchanych filtrach → wymiana wymagana  ·  Wysoki ΔP = wzrost SFP = wzrost zużycia energii (REGUŁA DIAGNOSTYCZNA!)</t>
  </si>
  <si>
    <t xml:space="preserve">Klasa filtracji wstępnej F1 (stara / nowa)</t>
  </si>
  <si>
    <t xml:space="preserve">DTR / EN ISO 16890</t>
  </si>
  <si>
    <t xml:space="preserve">Stara: G4, F5 · Nowa: ePM10 (usuwa cząstki PM10). Filtr wstępny = pierwsza sekcja</t>
  </si>
  <si>
    <t xml:space="preserve">Klasa filtracji końcowej F2 (stara / nowa)</t>
  </si>
  <si>
    <t xml:space="preserve">Stara: F7, F9 · Nowa: ePM2.5, ePM1. Filtr końcowy = przed strefą obsługiwaną</t>
  </si>
  <si>
    <t xml:space="preserve">Typ filtrów (F1/F2)</t>
  </si>
  <si>
    <t xml:space="preserve">Kieszeniowy / Płaski (panel) / Kartonowy / Kompaktowy / HEPA</t>
  </si>
  <si>
    <t xml:space="preserve">ΔP czysty filtr F1 [Pa]</t>
  </si>
  <si>
    <t xml:space="preserve">DTR producenta filtra</t>
  </si>
  <si>
    <t xml:space="preserve">Wartość startowa — przy nowym filtrze. Typowo: kieszeniowy F1 = 40-80 Pa</t>
  </si>
  <si>
    <t xml:space="preserve">ΔP alarm filtra F1 — wymiana [Pa]</t>
  </si>
  <si>
    <t xml:space="preserve">Próg wymiany. Typowo: kieszeniowy F1 = 150-200 Pa. Z DTR centrali lub producenta filtra</t>
  </si>
  <si>
    <t xml:space="preserve">ΔP czysty filtr F2 [Pa]</t>
  </si>
  <si>
    <t xml:space="preserve">Typowo: F7 kieszeniowy czysty = 80-120 Pa</t>
  </si>
  <si>
    <t xml:space="preserve">ΔP alarm filtra F2 — wymiana [Pa]</t>
  </si>
  <si>
    <t xml:space="preserve">Typowo: F7 kieszeniowy alarm = 250-400 Pa</t>
  </si>
  <si>
    <t xml:space="preserve">Aktualnie zmierzony ΔP filtra F1 [Pa]</t>
  </si>
  <si>
    <t xml:space="preserve">Etap 1 B-15 — odczyt manometru</t>
  </si>
  <si>
    <t xml:space="preserve">Odczytane przez pracownika w Etapie 1. Porównaj z progiem alarmu!</t>
  </si>
  <si>
    <t xml:space="preserve">Aktualnie zmierzony ΔP filtra F2 [Pa]</t>
  </si>
  <si>
    <t xml:space="preserve">Status filtrów F1</t>
  </si>
  <si>
    <t xml:space="preserve">OBLICZONA</t>
  </si>
  <si>
    <t xml:space="preserve">Automatyczna ocena stanu filtra na podstawie ΔP</t>
  </si>
  <si>
    <t xml:space="preserve">Status filtrów F2</t>
  </si>
  <si>
    <t xml:space="preserve">Zalecana częstotliwość wymiany filtrów</t>
  </si>
  <si>
    <t xml:space="preserve">mies.</t>
  </si>
  <si>
    <t xml:space="preserve">DTR / producent filtra</t>
  </si>
  <si>
    <t xml:space="preserve">Typowo co 3-6 miesięcy lub wg ΔP. Wpisz z DTR</t>
  </si>
  <si>
    <t xml:space="preserve">  B6 — NAGRZEWNICA I CHŁODNICA</t>
  </si>
  <si>
    <t xml:space="preserve">Typ nagrzewnicy</t>
  </si>
  <si>
    <t xml:space="preserve">Wodna (c.o.) / Elektryczna / Gazowa / Brak</t>
  </si>
  <si>
    <t xml:space="preserve">Moc grzewcza nominalna</t>
  </si>
  <si>
    <t xml:space="preserve">DTR — karta cieplna</t>
  </si>
  <si>
    <t xml:space="preserve">Przy parametrach 0°C zewn. → +18°C nawiew. Z karty doboru AHU</t>
  </si>
  <si>
    <t xml:space="preserve">Parametry czynnika grzewczego (zasilanie/powrót)</t>
  </si>
  <si>
    <t xml:space="preserve">°C/°C</t>
  </si>
  <si>
    <t xml:space="preserve">np. 80/60°C lub 70/50°C lub 45/35°C (pompa ciepła)</t>
  </si>
  <si>
    <t xml:space="preserve">Typ chłodnicy</t>
  </si>
  <si>
    <t xml:space="preserve">Wodna — chiller (FCU) / DX — bezpośrednie odparowanie (freon) / Brak</t>
  </si>
  <si>
    <t xml:space="preserve">Moc chłodnicza nominalna</t>
  </si>
  <si>
    <t xml:space="preserve">Przy parametrach 35°C zewn. → +16°C nawiew</t>
  </si>
  <si>
    <t xml:space="preserve">Parametry czynnika chłodniczego</t>
  </si>
  <si>
    <t xml:space="preserve">Wodna: 7/12°C (chiller). DX: typ freonu (np. R410A)</t>
  </si>
  <si>
    <t xml:space="preserve">Nawilżacz — typ</t>
  </si>
  <si>
    <t xml:space="preserve">DTR / Etap 1 B-19</t>
  </si>
  <si>
    <t xml:space="preserve">Parowy elektryczny / Adiabatyczny (dysze wodne) / Brak</t>
  </si>
  <si>
    <t xml:space="preserve">Moc nawilżacza (jeśli elektryczny)</t>
  </si>
  <si>
    <t xml:space="preserve">Elektryczne nawilżacze mają wysoki pobór mocy — do uwzględnienia w EnPI</t>
  </si>
  <si>
    <t xml:space="preserve">  B7 — WŁAŚCIWOŚCI OBUDOWY AHU · PN-EN 1886:2008</t>
  </si>
  <si>
    <t xml:space="preserve">  EN 1886 klasyfikuje mechaniczną jakość obudowy AHU  ·  Szczelność: L1 &lt;0.15% przepływu (najlepsza) · L2 &lt;0.44% · L3 &lt;1.32%  ·  Izolacja: T1 = Uf &lt;0.5 (najlepsza) · T5 = Uf &lt;4.5  ·  Mostkowanie: TB1 = brak mostków cieplnych (najlepsza) · TB3 = znaczące mostki</t>
  </si>
  <si>
    <t xml:space="preserve">Klasa szczelności obudowy</t>
  </si>
  <si>
    <t xml:space="preserve">PN-EN 1886</t>
  </si>
  <si>
    <t xml:space="preserve">L1 / L2 / L3. Z karty produktu lub certyfikatu EN 1886. Brak L1 = wycieki powietrza przez obudowę</t>
  </si>
  <si>
    <t xml:space="preserve">Klasa izolacji termicznej obudowy</t>
  </si>
  <si>
    <t xml:space="preserve">T1 / T2 / T3 / T4 / T5. T1 = najlepsza izolacja. Niska klasa = straty ciepła przez ściany centrali</t>
  </si>
  <si>
    <t xml:space="preserve">Klasa mostkowania cieplnego</t>
  </si>
  <si>
    <t xml:space="preserve">TB1 / TB2 / TB3. TB3 = znaczące mostki zimna = kondensacja = korozja = straty cieplne</t>
  </si>
  <si>
    <t xml:space="preserve">Klasa wytrzymałości mechanicznej obudowy</t>
  </si>
  <si>
    <t xml:space="preserve">D1 / D2 / D3. Zdolność do pracy przy podciśnieniu i nadciśnieniu</t>
  </si>
  <si>
    <t xml:space="preserve">  B8 — JAKOŚĆ POWIETRZA WEWNĘTRZNEGO (IEQ) · EN 16798-1:2019</t>
  </si>
  <si>
    <t xml:space="preserve">Zaprojektowana kategoria IEQ</t>
  </si>
  <si>
    <t xml:space="preserve">Kat. I (najwyższa) / II / III / IV. Z projektu budowlanego lub wymagań inwestora</t>
  </si>
  <si>
    <t xml:space="preserve">Kat. I: &gt;10 l/s/os · II: &gt;7 · III: &gt;4. Niewystarczający strumień = CO₂ rośnie powyżej 1000 ppm</t>
  </si>
  <si>
    <t xml:space="preserve">Docelowe stężenie CO₂ w strefie obsługiwanej</t>
  </si>
  <si>
    <t xml:space="preserve">ppm</t>
  </si>
  <si>
    <t xml:space="preserve">Kat. II: CO₂_zewn + 500 ppm ≈ 900-1000 ppm. Powyżej 1200 ppm = dyskomfort, bóle głowy</t>
  </si>
  <si>
    <t xml:space="preserve">Czy zainstalowane czujniki CO₂ w strefie?</t>
  </si>
  <si>
    <t xml:space="preserve">Etap 1 B-22 / DTR</t>
  </si>
  <si>
    <t xml:space="preserve">TAK / NIE. Bez czujników CO₂ niemożliwa regulacja VAV wg jakości powietrza</t>
  </si>
  <si>
    <t xml:space="preserve">Czy zastosowana regulacja VAV wg stężenia CO₂?</t>
  </si>
  <si>
    <t xml:space="preserve">Projekt / BMS</t>
  </si>
  <si>
    <t xml:space="preserve">TAK — zmienny przepływ wg CO₂ / NIE — stały przepływ. VAV wg CO₂ = największy potencjał oszczędności</t>
  </si>
  <si>
    <t xml:space="preserve">  ENESA  ·  A-EnMS-VAC-01  ·  ETAP 2 DTR  ·  Wersja 3.0  ·  PN-EN 1886 · PN-EN 13053+A1 · EN 16798-1</t>
  </si>
  <si>
    <t xml:space="preserve">PASZPORT ENERGETYCZNY URZĄDZENIA WENTYLACYJNEGO AHU  ·  A-EnMS-VAC-01</t>
  </si>
  <si>
    <t xml:space="preserve">System Zarządzania Energią ISO 50001  ·  PN-EN 1886 · PN-EN 13053+A1 · EN 16798-1  ·  Wersja 3.0</t>
  </si>
  <si>
    <t xml:space="preserve">Ścieżka A/B/C:</t>
  </si>
  <si>
    <t xml:space="preserve">Status:</t>
  </si>
  <si>
    <t xml:space="preserve">  1.  IDENTYFIKACJA URZĄDZENIA</t>
  </si>
  <si>
    <t xml:space="preserve">[z DTR B1]</t>
  </si>
  <si>
    <t xml:space="preserve">Model / typ</t>
  </si>
  <si>
    <t xml:space="preserve">Klasa energetyczna EN 13053</t>
  </si>
  <si>
    <t xml:space="preserve">Lokalizacja instalacji</t>
  </si>
  <si>
    <t xml:space="preserve">[z Etap1 B-02]</t>
  </si>
  <si>
    <t xml:space="preserve">Obsługiwana strefa</t>
  </si>
  <si>
    <t xml:space="preserve">[z Etap1 B-03]</t>
  </si>
  <si>
    <t xml:space="preserve">[z DTR B4]</t>
  </si>
  <si>
    <t xml:space="preserve">Falownik VFD nawiew/wyciąg</t>
  </si>
  <si>
    <t xml:space="preserve">[z Etap1/DTR]</t>
  </si>
  <si>
    <t xml:space="preserve">  2.  KLUCZOWE WSKAŹNIKI EnPI — WENTYLACJA  ★</t>
  </si>
  <si>
    <t xml:space="preserve">Wskaźnik</t>
  </si>
  <si>
    <t xml:space="preserve">Jednostka</t>
  </si>
  <si>
    <t xml:space="preserve">Benchmark / Norma</t>
  </si>
  <si>
    <t xml:space="preserve">Klasyfikacja</t>
  </si>
  <si>
    <t xml:space="preserve">SFP_system [W/(m³/s)]</t>
  </si>
  <si>
    <t xml:space="preserve">[z DTR B3]</t>
  </si>
  <si>
    <t xml:space="preserve">SFP1 &lt;500 (★★) · SFP3 &lt;1250 · SFP5 &lt;2000 · &gt;2000 ✗</t>
  </si>
  <si>
    <t xml:space="preserve">[auto]</t>
  </si>
  <si>
    <t xml:space="preserve">SFP1=najlepsza · SFP7=najgorsza</t>
  </si>
  <si>
    <t xml:space="preserve">Sprawność temperaturowa η_t</t>
  </si>
  <si>
    <t xml:space="preserve">&lt;50% brak/zepsuty · 50-70% śr. · &gt;75% dobry · &gt;85% b.dobry</t>
  </si>
  <si>
    <t xml:space="preserve">ESHRE — roczna efektywność odzysku</t>
  </si>
  <si>
    <t xml:space="preserve">Im wyższy tym lepszy (cel &gt;60%)</t>
  </si>
  <si>
    <t xml:space="preserve">—</t>
  </si>
  <si>
    <t xml:space="preserve">Status filtra F1</t>
  </si>
  <si>
    <t xml:space="preserve">[z DTR B5]</t>
  </si>
  <si>
    <t xml:space="preserve">✅ OK · ⚠️ Zmienić · ❌ PILNA WYMIANA</t>
  </si>
  <si>
    <t xml:space="preserve">Status filtra F2</t>
  </si>
  <si>
    <t xml:space="preserve">[z DTR B7]</t>
  </si>
  <si>
    <t xml:space="preserve">L1 = najlepsza · L3 = gorsza</t>
  </si>
  <si>
    <t xml:space="preserve">Klasa izolacji termicznej</t>
  </si>
  <si>
    <t xml:space="preserve">T1 = najlepsza · T5 = najgorsza</t>
  </si>
  <si>
    <t xml:space="preserve">Kategoria IEQ (jakość pow.)</t>
  </si>
  <si>
    <t xml:space="preserve">[z DTR B8]</t>
  </si>
  <si>
    <t xml:space="preserve">I (najlepsza) → IV</t>
  </si>
  <si>
    <t xml:space="preserve">Regulacja VAV wg CO₂</t>
  </si>
  <si>
    <t xml:space="preserve">TAK = potencjał oszczędności · NIE = stały przepływ</t>
  </si>
  <si>
    <t xml:space="preserve">  3.  KLASY NORMATYWNE URZĄDZENIA</t>
  </si>
  <si>
    <t xml:space="preserve">Właściwość</t>
  </si>
  <si>
    <t xml:space="preserve">Norma</t>
  </si>
  <si>
    <t xml:space="preserve">Klasa urządzenia</t>
  </si>
  <si>
    <t xml:space="preserve">Interpretacja</t>
  </si>
  <si>
    <t xml:space="preserve">Klasa energetyczna AHU</t>
  </si>
  <si>
    <t xml:space="preserve">A+/A = efektywne · C,D = przeciętne · E,F,G = nieefektywne</t>
  </si>
  <si>
    <t xml:space="preserve">Klasa SFP wentylatorów</t>
  </si>
  <si>
    <t xml:space="preserve">SFP1/2 = dobra · SFP4/5 = przeciętna · SFP6/7 = zła</t>
  </si>
  <si>
    <t xml:space="preserve">Szczelność obudowy</t>
  </si>
  <si>
    <t xml:space="preserve">L1 = bardzo mały wyciek · L2 = średni · L3 = duże wycieki</t>
  </si>
  <si>
    <t xml:space="preserve">Izolacja termiczna obudowy</t>
  </si>
  <si>
    <t xml:space="preserve">T1 = doskonała izolacja · T5 = słaba — kondensacja</t>
  </si>
  <si>
    <t xml:space="preserve">Mostkowanie cieplne</t>
  </si>
  <si>
    <t xml:space="preserve">TB1 = brak mostków · TB3 = znaczące — ryzyko korozji</t>
  </si>
  <si>
    <t xml:space="preserve">Kategoria IEQ</t>
  </si>
  <si>
    <t xml:space="preserve">EN 16798-1:2019</t>
  </si>
  <si>
    <t xml:space="preserve">I = najlepsza jakość pow. · IV = minimalna</t>
  </si>
  <si>
    <t xml:space="preserve">  4.  STAN TECHNICZNY — OBSERWACJE Z ETAPU 1</t>
  </si>
  <si>
    <t xml:space="preserve">Element</t>
  </si>
  <si>
    <t xml:space="preserve">Ocena 1-5</t>
  </si>
  <si>
    <t xml:space="preserve">Obserwacje pracownika UR</t>
  </si>
  <si>
    <t xml:space="preserve">Obudowa AHU</t>
  </si>
  <si>
    <t xml:space="preserve">[z Etap1 B-09/B-28]</t>
  </si>
  <si>
    <t xml:space="preserve">Wentylatory</t>
  </si>
  <si>
    <t xml:space="preserve">Filtry (wizualnie)</t>
  </si>
  <si>
    <t xml:space="preserve">Rekuperator</t>
  </si>
  <si>
    <t xml:space="preserve">Kanały i izolacja</t>
  </si>
  <si>
    <t xml:space="preserve">Automatyka / panel</t>
  </si>
  <si>
    <t xml:space="preserve">Ogólna ocena (1-5)</t>
  </si>
  <si>
    <t xml:space="preserve">  5.  ZATWIERDZENIE PASZPORTU AHU</t>
  </si>
  <si>
    <t xml:space="preserve">Pracownik UR (Etap 1):</t>
  </si>
  <si>
    <t xml:space="preserve">Podpis: ________________</t>
  </si>
  <si>
    <t xml:space="preserve">Data:</t>
  </si>
  <si>
    <t xml:space="preserve">________________</t>
  </si>
  <si>
    <t xml:space="preserve">Energy Manager (Etap 2):</t>
  </si>
  <si>
    <t xml:space="preserve">Konsultant ENESA:</t>
  </si>
  <si>
    <t xml:space="preserve">  ENESA  ·  A-EnMS-VAC-01  ·  Paszport Urządzenia Wentylacyjnego  ·  Wersja 3.0  ·  ISO 50001 · EN 1886 · EN 13053+A1 · EN 16798-1</t>
  </si>
  <si>
    <t xml:space="preserve">ENESA  ·  SYSTEM PROMPT — AGENT 1 (SCOUT)  ·  SYSTEM PROMPT</t>
  </si>
  <si>
    <t xml:space="preserve">Skopiuj tekst komórki A5+ do pola System Prompt Agenta 1  ·  Mapowanie JSON: pytanie → pole bazy danych</t>
  </si>
  <si>
    <t xml:space="preserve">⚠️  INSTRUKCJA: Skopiuj tekst od wiersza 5 do końca sekcji ###DANE_KOMPLETNE### do konfiguracji Agenta 1 w aplikacji ENESA.</t>
  </si>
  <si>
    <t xml:space="preserve">── POCZĄTEK SYSTEM PROMPTU ──</t>
  </si>
  <si>
    <t xml:space="preserve">Jesteś Agentem 1 (Scout) ENESA — asystentem inwentaryzacji energetycznej WENTYLACJI.</t>
  </si>
  <si>
    <t xml:space="preserve">Przeprowadzasz pracownika UR przez wizję lokalną urządzenia wentylacyjnego.</t>
  </si>
  <si>
    <t xml:space="preserve">Twój rozmówca to pracownik działu Utrzymania Ruchu — nie musi znać norm ISO ani parametrów energetycznych.</t>
  </si>
  <si>
    <t xml:space="preserve"> === PYTANIE ZEROWE — KLASYFIKACJA ŚCIEŻKI ===</t>
  </si>
  <si>
    <t xml:space="preserve">Zawsze zacznij od pytania P-00:</t>
  </si>
  <si>
    <t xml:space="preserve">'Dzień dobry! Proszę opisać co widzisz przed sobą — czy to:',</t>
  </si>
  <si>
    <t xml:space="preserve">'A) Samodzielny wentylator (silnik + wirnik, prosta obudowa)',</t>
  </si>
  <si>
    <t xml:space="preserve">'B) Centrala wentylacyjna AHU (duże urządzenie skrzynkowe, kanały po obu stronach)',</t>
  </si>
  <si>
    <t xml:space="preserve">'C) Klimakonwektor lub jednostka split (ścienna/sufitowa/podłogowa)',</t>
  </si>
  <si>
    <t xml:space="preserve">'D) Opisz co widzisz — nie jestem pewien'</t>
  </si>
  <si>
    <t xml:space="preserve">Odpowiedź A → ŚCIEŻKA A (pytania A-01 do A-08)</t>
  </si>
  <si>
    <t xml:space="preserve">Odpowiedź B → ŚCIEŻKA B (pytania B-01 do B-32) — pełna inwentaryzacja</t>
  </si>
  <si>
    <t xml:space="preserve">Odpowiedź C → poproś o podstawowe dane: producent, moc, lokalizacja</t>
  </si>
  <si>
    <t xml:space="preserve">Odpowiedź D → dopytaj aż ustalić typ</t>
  </si>
  <si>
    <t xml:space="preserve"> === ŚCIEŻKA A — WENTYLATOR SAMODZIELNY (8 pytań, ~10 minut) ===</t>
  </si>
  <si>
    <t xml:space="preserve">A-01: Odczytaj z tabliczki na silniku: moc [kW] i obroty [RPM].</t>
  </si>
  <si>
    <t xml:space="preserve">A-02: Czy obok silnika jest falownik VFD (skrzynka z wyświetlaczem)? TAK / NIE</t>
  </si>
  <si>
    <t xml:space="preserve">A-03: Oceń wzrokowo średnicę wirnika: &lt;300mm / 300-600mm / &gt;600mm</t>
  </si>
  <si>
    <t xml:space="preserve">A-04: Gdzie zamontowany i co obsługuje? (lokalizacja + strefa)</t>
  </si>
  <si>
    <t xml:space="preserve">A-05: Czy pracuje teraz? Oceń hałas: cichy / słyszalny / głośny / anomalie</t>
  </si>
  <si>
    <t xml:space="preserve">A-06: Widoczne uszkodzenia mechaniczne? NIE / TAK — opisz</t>
  </si>
  <si>
    <t xml:space="preserve">A-07: Czy jest filtracja przed wentylatorem? Krata / Filtr kieszeniowy / Brak</t>
  </si>
  <si>
    <t xml:space="preserve">A-08: Kiedy był ostatni przegląd serwisowy? Data lub 'nie wiem'</t>
  </si>
  <si>
    <t xml:space="preserve">Po A-08: ###DANE_KOMPLETNE_SCIEZKA_A###</t>
  </si>
  <si>
    <t xml:space="preserve"> === ŚCIEŻKA B — CENTRALA AHU (32 pytania, 20-35 minut) ===</t>
  </si>
  <si>
    <t xml:space="preserve">Blok B1 (identyfikacja): B-01 do B-04 — tabliczka, lokalizacja, strefy, typ kanałów</t>
  </si>
  <si>
    <t xml:space="preserve">Blok B2 (wentylatory): B-05 do B-09 — liczba wentylatorów, VFD, panel, hałas, stan</t>
  </si>
  <si>
    <t xml:space="preserve">Blok B3 (rekuperator): B-10 do B-12 — typ, czystość, bypass</t>
  </si>
  <si>
    <t xml:space="preserve">Blok B4 (filtry): B-13 do B-16 — stopnie filtracji, wygląd filtrów, ΔP, data wymiany</t>
  </si>
  <si>
    <t xml:space="preserve">Blok B5 (nagrzewnica/chłodnica): B-17 do B-19 — typ nagrzewnicy, chłodnicy, nawilżacz</t>
  </si>
  <si>
    <t xml:space="preserve">Blok B6 (automatyka): B-20 do B-23 — sterownik, BMS, czujniki CO₂, harmonogram</t>
  </si>
  <si>
    <t xml:space="preserve">Blok B7 (kanały): B-24 do B-27 — materiał, izolacja, uszkodzenia, kratki</t>
  </si>
  <si>
    <t xml:space="preserve">Blok B8 (ocena ogólna): B-28 do B-32 — stan 1-5, awarie, przegląd, obserwacje, DTR</t>
  </si>
  <si>
    <t xml:space="preserve"> === WAŻNE ZASADY ===</t>
  </si>
  <si>
    <t xml:space="preserve">NIE pytaj o SFP, ESHRE, klasy EN 1886, EN 13053 — to jest Etap 2 (formularz webowy w biurze).</t>
  </si>
  <si>
    <t xml:space="preserve">TYLKO pytania obserwowalne: co widzisz, słyszysz, odczytujesz z wyświetlacza/manometru.</t>
  </si>
  <si>
    <t xml:space="preserve">Jeśli pracownik nie ma dostępu do sekcji — wpisz 'BRAK DOSTĘPU' i idź dalej.</t>
  </si>
  <si>
    <t xml:space="preserve">Czas Etapu 1 dla AHU: 20-35 minut.</t>
  </si>
  <si>
    <t xml:space="preserve">Po ostatnim pytaniu B-32 (lub A-08):</t>
  </si>
  <si>
    <t xml:space="preserve">'Dziękuję! Zebrałem wszystkie dane do Etapu 1. Energy Manager uzupełni dane z DTR w biurze.'</t>
  </si>
  <si>
    <t xml:space="preserve">Następnie wpisz: ###DANE_KOMPLETNE###</t>
  </si>
  <si>
    <t xml:space="preserve"> === MAPOWANIE JSON ===</t>
  </si>
  <si>
    <t xml:space="preserve">{</t>
  </si>
  <si>
    <t xml:space="preserve">  'qr_code': 'P-00 (ID z nagłówka)',</t>
  </si>
  <si>
    <t xml:space="preserve">  'path': 'P-00 (A/B/C)',</t>
  </si>
  <si>
    <t xml:space="preserve">  'fan_power_kw': 'A-01',</t>
  </si>
  <si>
    <t xml:space="preserve">  'fan_has_vfd': 'A-02',</t>
  </si>
  <si>
    <t xml:space="preserve">  'fan_diameter': 'A-03',</t>
  </si>
  <si>
    <t xml:space="preserve">  'ahu_manufacturer': 'B-01 (producent)',</t>
  </si>
  <si>
    <t xml:space="preserve">  'ahu_model': 'B-01 (model)',</t>
  </si>
  <si>
    <t xml:space="preserve">  'ahu_year': 'B-01 (rok)',</t>
  </si>
  <si>
    <t xml:space="preserve">  'ahu_location': 'B-02',</t>
  </si>
  <si>
    <t xml:space="preserve">  'ahu_zone': 'B-03',</t>
  </si>
  <si>
    <t xml:space="preserve">  'ahu_duct_type': 'B-04',</t>
  </si>
  <si>
    <t xml:space="preserve">  'fan_count': 'B-05',</t>
  </si>
  <si>
    <t xml:space="preserve">  'has_vfd_supply': 'B-06 (nawiew)',</t>
  </si>
  <si>
    <t xml:space="preserve">  'has_vfd_exhaust': 'B-06 (wyciąg)',</t>
  </si>
  <si>
    <t xml:space="preserve">  'controller_display': 'B-07',</t>
  </si>
  <si>
    <t xml:space="preserve">  'fan_noise': 'B-08',</t>
  </si>
  <si>
    <t xml:space="preserve">  'fan_condition': 'B-09',</t>
  </si>
  <si>
    <t xml:space="preserve">  'recuperator_type': 'B-10',</t>
  </si>
  <si>
    <t xml:space="preserve">  'recuperator_clean': 'B-11',</t>
  </si>
  <si>
    <t xml:space="preserve">  'has_bypass': 'B-12',</t>
  </si>
  <si>
    <t xml:space="preserve">  'filter_stages': 'B-13',</t>
  </si>
  <si>
    <t xml:space="preserve">  'filter_visual': 'B-14',</t>
  </si>
  <si>
    <t xml:space="preserve">  'filter_dp_reading': 'B-15',</t>
  </si>
  <si>
    <t xml:space="preserve">  'filter_last_change': 'B-16',</t>
  </si>
  <si>
    <t xml:space="preserve">  'heater_type': 'B-17',</t>
  </si>
  <si>
    <t xml:space="preserve">  'cooler_type': 'B-18',</t>
  </si>
  <si>
    <t xml:space="preserve">  'humidifier_type': 'B-19',</t>
  </si>
  <si>
    <t xml:space="preserve">  'has_bms': 'B-21',</t>
  </si>
  <si>
    <t xml:space="preserve">  'has_co2_sensors': 'B-22',</t>
  </si>
  <si>
    <t xml:space="preserve">  'schedule': 'B-23',</t>
  </si>
  <si>
    <t xml:space="preserve">  'duct_material': 'B-24',</t>
  </si>
  <si>
    <t xml:space="preserve">  'duct_insulation': 'B-25',</t>
  </si>
  <si>
    <t xml:space="preserve">  'duct_damage': 'B-26',</t>
  </si>
  <si>
    <t xml:space="preserve">  'condition_score': 'B-28',</t>
  </si>
  <si>
    <t xml:space="preserve">  'last_service': 'B-30',</t>
  </si>
  <si>
    <t xml:space="preserve">  'observations': 'B-31',</t>
  </si>
  <si>
    <t xml:space="preserve">  'dtr_available': 'B-32'</t>
  </si>
  <si>
    <t xml:space="preserve">}</t>
  </si>
  <si>
    <t xml:space="preserve">── KONIEC SYSTEM PROMPTU ──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</si>
</sst>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9"/>
      <color rgb="FF1A3A5C"/>
      <name val="Arial"/>
      <family val="0"/>
      <charset val="1"/>
    </font>
    <font>
      <sz val="9"/>
      <color rgb="FF1A3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sz val="10"/>
      <color rgb="FF1A3A5C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1A7A6E"/>
      <name val="Arial"/>
      <family val="0"/>
      <charset val="1"/>
    </font>
    <font>
      <b val="true"/>
      <sz val="10"/>
      <color rgb="FF1A7A6E"/>
      <name val="Arial"/>
      <family val="0"/>
      <charset val="1"/>
    </font>
    <font>
      <sz val="10"/>
      <color rgb="FF000080"/>
      <name val="Arial"/>
      <family val="0"/>
      <charset val="1"/>
    </font>
    <font>
      <b val="true"/>
      <sz val="10"/>
      <color rgb="FFB7950B"/>
      <name val="Arial"/>
      <family val="0"/>
      <charset val="1"/>
    </font>
    <font>
      <b val="true"/>
      <sz val="10"/>
      <color rgb="FF6C3483"/>
      <name val="Arial"/>
      <family val="0"/>
      <charset val="1"/>
    </font>
    <font>
      <b val="true"/>
      <sz val="10"/>
      <color rgb="FF2E6DA4"/>
      <name val="Arial"/>
      <family val="0"/>
      <charset val="1"/>
    </font>
    <font>
      <b val="true"/>
      <sz val="10"/>
      <color rgb="FFE87722"/>
      <name val="Arial"/>
      <family val="0"/>
      <charset val="1"/>
    </font>
    <font>
      <b val="true"/>
      <sz val="10"/>
      <color rgb="FF1E7B34"/>
      <name val="Arial"/>
      <family val="0"/>
      <charset val="1"/>
    </font>
    <font>
      <sz val="9"/>
      <color rgb="FF1A1A2E"/>
      <name val="Courier New"/>
      <family val="0"/>
      <charset val="1"/>
    </font>
    <font>
      <sz val="9"/>
      <name val="Courier New"/>
      <family val="0"/>
      <charset val="1"/>
    </font>
    <font>
      <b val="true"/>
      <sz val="10"/>
      <color rgb="FF1A7A6E"/>
      <name val="Courier New"/>
      <family val="0"/>
      <charset val="1"/>
    </font>
    <font>
      <b val="true"/>
      <sz val="10"/>
      <color rgb="FFC0392B"/>
      <name val="Courier New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A7A6E"/>
        <bgColor rgb="FF008080"/>
      </patternFill>
    </fill>
    <fill>
      <patternFill patternType="solid">
        <fgColor rgb="FFD0EEEB"/>
        <bgColor rgb="FFD9F0E0"/>
      </patternFill>
    </fill>
    <fill>
      <patternFill patternType="solid">
        <fgColor rgb="FFFFF2CC"/>
        <bgColor rgb="FFFEF9E7"/>
      </patternFill>
    </fill>
    <fill>
      <patternFill patternType="solid">
        <fgColor rgb="FFC0392B"/>
        <bgColor rgb="FF993366"/>
      </patternFill>
    </fill>
    <fill>
      <patternFill patternType="solid">
        <fgColor rgb="FFD6E4F0"/>
        <bgColor rgb="FFD0EEEB"/>
      </patternFill>
    </fill>
    <fill>
      <patternFill patternType="solid">
        <fgColor rgb="FFFFFFFF"/>
        <bgColor rgb="FFFEF9E7"/>
      </patternFill>
    </fill>
    <fill>
      <patternFill patternType="solid">
        <fgColor rgb="FFF4F4F4"/>
        <bgColor rgb="FFF0F4F8"/>
      </patternFill>
    </fill>
    <fill>
      <patternFill patternType="solid">
        <fgColor rgb="FF2E6DA4"/>
        <bgColor rgb="FF1A7A6E"/>
      </patternFill>
    </fill>
    <fill>
      <patternFill patternType="solid">
        <fgColor rgb="FF1A3A5C"/>
        <bgColor rgb="FF333399"/>
      </patternFill>
    </fill>
    <fill>
      <patternFill patternType="solid">
        <fgColor rgb="FFE87722"/>
        <bgColor rgb="FFFF9900"/>
      </patternFill>
    </fill>
    <fill>
      <patternFill patternType="solid">
        <fgColor rgb="FF6C3483"/>
        <bgColor rgb="FF993366"/>
      </patternFill>
    </fill>
    <fill>
      <patternFill patternType="solid">
        <fgColor rgb="FFEBF3FB"/>
        <bgColor rgb="FFF0F4F8"/>
      </patternFill>
    </fill>
    <fill>
      <patternFill patternType="solid">
        <fgColor rgb="FFF0F4F8"/>
        <bgColor rgb="FFF4F4F4"/>
      </patternFill>
    </fill>
    <fill>
      <patternFill patternType="solid">
        <fgColor rgb="FFFEF9E7"/>
        <bgColor rgb="FFF4F4F4"/>
      </patternFill>
    </fill>
    <fill>
      <patternFill patternType="solid">
        <fgColor rgb="FFE8DAEF"/>
        <bgColor rgb="FFFADBD8"/>
      </patternFill>
    </fill>
    <fill>
      <patternFill patternType="solid">
        <fgColor rgb="FF1E7B34"/>
        <bgColor rgb="FF1A7A6E"/>
      </patternFill>
    </fill>
    <fill>
      <patternFill patternType="solid">
        <fgColor rgb="FFD9F0E0"/>
        <bgColor rgb="FFD0EEEB"/>
      </patternFill>
    </fill>
    <fill>
      <patternFill patternType="solid">
        <fgColor rgb="FFFADBD8"/>
        <bgColor rgb="FFE8DAE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A7A6E"/>
      </left>
      <right style="thin">
        <color rgb="FF1A7A6E"/>
      </right>
      <top style="thin">
        <color rgb="FF1A7A6E"/>
      </top>
      <bottom style="thin">
        <color rgb="FF1A7A6E"/>
      </bottom>
      <diagonal/>
    </border>
    <border diagonalUp="false" diagonalDown="false">
      <left style="thin">
        <color rgb="FF1A3A5C"/>
      </left>
      <right style="thin">
        <color rgb="FF1A3A5C"/>
      </right>
      <top style="thin">
        <color rgb="FF1A3A5C"/>
      </top>
      <bottom style="thin">
        <color rgb="FF1A3A5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1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B7950B"/>
      <rgbColor rgb="FF800080"/>
      <rgbColor rgb="FF1A7A6E"/>
      <rgbColor rgb="FFCCCCCC"/>
      <rgbColor rgb="FF7F7F7F"/>
      <rgbColor rgb="FF9999FF"/>
      <rgbColor rgb="FF6C3483"/>
      <rgbColor rgb="FFFFF2CC"/>
      <rgbColor rgb="FFD0EEEB"/>
      <rgbColor rgb="FF660066"/>
      <rgbColor rgb="FFFF8080"/>
      <rgbColor rgb="FF2E6DA4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9F0E0"/>
      <rgbColor rgb="FFFEF9E7"/>
      <rgbColor rgb="FFD6E4F0"/>
      <rgbColor rgb="FFF4F4F4"/>
      <rgbColor rgb="FFF0F4F8"/>
      <rgbColor rgb="FFFADBD8"/>
      <rgbColor rgb="FF3366FF"/>
      <rgbColor rgb="FF33CCCC"/>
      <rgbColor rgb="FF99CC00"/>
      <rgbColor rgb="FFFFCC00"/>
      <rgbColor rgb="FFFF9900"/>
      <rgbColor rgb="FFE87722"/>
      <rgbColor rgb="FF666699"/>
      <rgbColor rgb="FF969696"/>
      <rgbColor rgb="FF1A3A5C"/>
      <rgbColor rgb="FF339966"/>
      <rgbColor rgb="FF003300"/>
      <rgbColor rgb="FF333300"/>
      <rgbColor rgb="FFC0392B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7722"/>
    <pageSetUpPr fitToPage="false"/>
  </sheetPr>
  <dimension ref="A1:E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40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2</v>
      </c>
      <c r="B3" s="4"/>
      <c r="C3" s="3" t="s">
        <v>3</v>
      </c>
      <c r="D3" s="4"/>
      <c r="E3" s="3" t="s">
        <v>4</v>
      </c>
    </row>
    <row r="4" customFormat="false" ht="19.5" hidden="false" customHeight="true" outlineLevel="0" collapsed="false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</row>
    <row r="5" customFormat="false" ht="21.75" hidden="false" customHeight="true" outlineLevel="0" collapsed="false">
      <c r="A5" s="6" t="s">
        <v>10</v>
      </c>
      <c r="B5" s="6"/>
      <c r="C5" s="6"/>
      <c r="D5" s="6"/>
      <c r="E5" s="6"/>
    </row>
    <row r="6" customFormat="false" ht="48" hidden="false" customHeight="true" outlineLevel="0" collapsed="false">
      <c r="A6" s="7" t="s">
        <v>11</v>
      </c>
      <c r="B6" s="8" t="s">
        <v>12</v>
      </c>
      <c r="C6" s="9"/>
      <c r="D6" s="10"/>
      <c r="E6" s="11" t="s">
        <v>13</v>
      </c>
    </row>
    <row r="7" customFormat="false" ht="21.75" hidden="false" customHeight="true" outlineLevel="0" collapsed="false">
      <c r="A7" s="12" t="s">
        <v>14</v>
      </c>
      <c r="B7" s="12"/>
      <c r="C7" s="12"/>
      <c r="D7" s="12"/>
      <c r="E7" s="12"/>
    </row>
    <row r="8" customFormat="false" ht="31.5" hidden="false" customHeight="true" outlineLevel="0" collapsed="false">
      <c r="A8" s="7" t="s">
        <v>15</v>
      </c>
      <c r="B8" s="8" t="s">
        <v>16</v>
      </c>
      <c r="C8" s="9"/>
      <c r="D8" s="10" t="s">
        <v>17</v>
      </c>
      <c r="E8" s="11" t="s">
        <v>18</v>
      </c>
    </row>
    <row r="9" customFormat="false" ht="31.5" hidden="false" customHeight="true" outlineLevel="0" collapsed="false">
      <c r="A9" s="7" t="s">
        <v>19</v>
      </c>
      <c r="B9" s="8" t="s">
        <v>20</v>
      </c>
      <c r="C9" s="9"/>
      <c r="D9" s="10"/>
      <c r="E9" s="11" t="s">
        <v>21</v>
      </c>
    </row>
    <row r="10" customFormat="false" ht="31.5" hidden="false" customHeight="true" outlineLevel="0" collapsed="false">
      <c r="A10" s="7" t="s">
        <v>22</v>
      </c>
      <c r="B10" s="8" t="s">
        <v>23</v>
      </c>
      <c r="C10" s="9"/>
      <c r="D10" s="10"/>
      <c r="E10" s="11" t="s">
        <v>24</v>
      </c>
    </row>
    <row r="11" customFormat="false" ht="31.5" hidden="false" customHeight="true" outlineLevel="0" collapsed="false">
      <c r="A11" s="7" t="s">
        <v>25</v>
      </c>
      <c r="B11" s="8" t="s">
        <v>26</v>
      </c>
      <c r="C11" s="9"/>
      <c r="D11" s="10"/>
      <c r="E11" s="11" t="s">
        <v>27</v>
      </c>
    </row>
    <row r="12" customFormat="false" ht="31.5" hidden="false" customHeight="true" outlineLevel="0" collapsed="false">
      <c r="A12" s="7" t="s">
        <v>28</v>
      </c>
      <c r="B12" s="8" t="s">
        <v>29</v>
      </c>
      <c r="C12" s="9"/>
      <c r="D12" s="10"/>
      <c r="E12" s="11" t="s">
        <v>30</v>
      </c>
    </row>
    <row r="13" customFormat="false" ht="31.5" hidden="false" customHeight="true" outlineLevel="0" collapsed="false">
      <c r="A13" s="7" t="s">
        <v>31</v>
      </c>
      <c r="B13" s="8" t="s">
        <v>32</v>
      </c>
      <c r="C13" s="9"/>
      <c r="D13" s="10"/>
      <c r="E13" s="11" t="s">
        <v>33</v>
      </c>
    </row>
    <row r="14" customFormat="false" ht="31.5" hidden="false" customHeight="true" outlineLevel="0" collapsed="false">
      <c r="A14" s="7" t="s">
        <v>34</v>
      </c>
      <c r="B14" s="8" t="s">
        <v>35</v>
      </c>
      <c r="C14" s="9"/>
      <c r="D14" s="10"/>
      <c r="E14" s="11" t="s">
        <v>36</v>
      </c>
    </row>
    <row r="15" customFormat="false" ht="31.5" hidden="false" customHeight="true" outlineLevel="0" collapsed="false">
      <c r="A15" s="7" t="s">
        <v>37</v>
      </c>
      <c r="B15" s="8" t="s">
        <v>38</v>
      </c>
      <c r="C15" s="9"/>
      <c r="D15" s="10"/>
      <c r="E15" s="11" t="s">
        <v>39</v>
      </c>
    </row>
    <row r="16" customFormat="false" ht="21.75" hidden="false" customHeight="true" outlineLevel="0" collapsed="false">
      <c r="A16" s="13" t="s">
        <v>40</v>
      </c>
      <c r="B16" s="13"/>
      <c r="C16" s="13"/>
      <c r="D16" s="13"/>
      <c r="E16" s="13"/>
    </row>
    <row r="17" customFormat="false" ht="21.75" hidden="false" customHeight="true" outlineLevel="0" collapsed="false">
      <c r="A17" s="14" t="s">
        <v>41</v>
      </c>
      <c r="B17" s="14"/>
      <c r="C17" s="14"/>
      <c r="D17" s="14"/>
      <c r="E17" s="14"/>
    </row>
    <row r="18" customFormat="false" ht="31.5" hidden="false" customHeight="true" outlineLevel="0" collapsed="false">
      <c r="A18" s="7" t="s">
        <v>42</v>
      </c>
      <c r="B18" s="8" t="s">
        <v>43</v>
      </c>
      <c r="C18" s="9"/>
      <c r="D18" s="10"/>
      <c r="E18" s="11" t="s">
        <v>44</v>
      </c>
    </row>
    <row r="19" customFormat="false" ht="31.5" hidden="false" customHeight="true" outlineLevel="0" collapsed="false">
      <c r="A19" s="7" t="s">
        <v>45</v>
      </c>
      <c r="B19" s="8" t="s">
        <v>46</v>
      </c>
      <c r="C19" s="9"/>
      <c r="D19" s="10"/>
      <c r="E19" s="11" t="s">
        <v>47</v>
      </c>
    </row>
    <row r="20" customFormat="false" ht="31.5" hidden="false" customHeight="true" outlineLevel="0" collapsed="false">
      <c r="A20" s="7" t="s">
        <v>48</v>
      </c>
      <c r="B20" s="8" t="s">
        <v>49</v>
      </c>
      <c r="C20" s="9"/>
      <c r="D20" s="10"/>
      <c r="E20" s="11" t="s">
        <v>50</v>
      </c>
    </row>
    <row r="21" customFormat="false" ht="31.5" hidden="false" customHeight="true" outlineLevel="0" collapsed="false">
      <c r="A21" s="7" t="s">
        <v>51</v>
      </c>
      <c r="B21" s="8" t="s">
        <v>52</v>
      </c>
      <c r="C21" s="9"/>
      <c r="D21" s="10"/>
      <c r="E21" s="11" t="s">
        <v>53</v>
      </c>
    </row>
    <row r="22" customFormat="false" ht="21.75" hidden="false" customHeight="true" outlineLevel="0" collapsed="false">
      <c r="A22" s="15" t="s">
        <v>54</v>
      </c>
      <c r="B22" s="15"/>
      <c r="C22" s="15"/>
      <c r="D22" s="15"/>
      <c r="E22" s="15"/>
    </row>
    <row r="23" customFormat="false" ht="31.5" hidden="false" customHeight="true" outlineLevel="0" collapsed="false">
      <c r="A23" s="7" t="s">
        <v>55</v>
      </c>
      <c r="B23" s="8" t="s">
        <v>56</v>
      </c>
      <c r="C23" s="9"/>
      <c r="D23" s="10" t="s">
        <v>57</v>
      </c>
      <c r="E23" s="11" t="s">
        <v>58</v>
      </c>
    </row>
    <row r="24" customFormat="false" ht="31.5" hidden="false" customHeight="true" outlineLevel="0" collapsed="false">
      <c r="A24" s="7" t="s">
        <v>59</v>
      </c>
      <c r="B24" s="8" t="s">
        <v>60</v>
      </c>
      <c r="C24" s="9"/>
      <c r="D24" s="10"/>
      <c r="E24" s="11" t="s">
        <v>61</v>
      </c>
    </row>
    <row r="25" customFormat="false" ht="31.5" hidden="false" customHeight="true" outlineLevel="0" collapsed="false">
      <c r="A25" s="7" t="s">
        <v>62</v>
      </c>
      <c r="B25" s="8" t="s">
        <v>63</v>
      </c>
      <c r="C25" s="9"/>
      <c r="D25" s="10"/>
      <c r="E25" s="11" t="s">
        <v>64</v>
      </c>
    </row>
    <row r="26" customFormat="false" ht="31.5" hidden="false" customHeight="true" outlineLevel="0" collapsed="false">
      <c r="A26" s="7" t="s">
        <v>65</v>
      </c>
      <c r="B26" s="8" t="s">
        <v>66</v>
      </c>
      <c r="C26" s="9"/>
      <c r="D26" s="10"/>
      <c r="E26" s="11" t="s">
        <v>67</v>
      </c>
    </row>
    <row r="27" customFormat="false" ht="31.5" hidden="false" customHeight="true" outlineLevel="0" collapsed="false">
      <c r="A27" s="7" t="s">
        <v>68</v>
      </c>
      <c r="B27" s="8" t="s">
        <v>69</v>
      </c>
      <c r="C27" s="9"/>
      <c r="D27" s="10"/>
      <c r="E27" s="11" t="s">
        <v>70</v>
      </c>
    </row>
    <row r="28" customFormat="false" ht="21.75" hidden="false" customHeight="true" outlineLevel="0" collapsed="false">
      <c r="A28" s="16" t="s">
        <v>71</v>
      </c>
      <c r="B28" s="16"/>
      <c r="C28" s="16"/>
      <c r="D28" s="16"/>
      <c r="E28" s="16"/>
    </row>
    <row r="29" customFormat="false" ht="31.5" hidden="false" customHeight="true" outlineLevel="0" collapsed="false">
      <c r="A29" s="7" t="s">
        <v>72</v>
      </c>
      <c r="B29" s="8" t="s">
        <v>73</v>
      </c>
      <c r="C29" s="9"/>
      <c r="D29" s="10"/>
      <c r="E29" s="11" t="s">
        <v>74</v>
      </c>
    </row>
    <row r="30" customFormat="false" ht="31.5" hidden="false" customHeight="true" outlineLevel="0" collapsed="false">
      <c r="A30" s="7" t="s">
        <v>75</v>
      </c>
      <c r="B30" s="8" t="s">
        <v>76</v>
      </c>
      <c r="C30" s="9"/>
      <c r="D30" s="10"/>
      <c r="E30" s="11" t="s">
        <v>77</v>
      </c>
    </row>
    <row r="31" customFormat="false" ht="31.5" hidden="false" customHeight="true" outlineLevel="0" collapsed="false">
      <c r="A31" s="7" t="s">
        <v>78</v>
      </c>
      <c r="B31" s="8" t="s">
        <v>79</v>
      </c>
      <c r="C31" s="9"/>
      <c r="D31" s="10"/>
      <c r="E31" s="11" t="s">
        <v>80</v>
      </c>
    </row>
    <row r="32" customFormat="false" ht="21.75" hidden="false" customHeight="true" outlineLevel="0" collapsed="false">
      <c r="A32" s="17" t="s">
        <v>81</v>
      </c>
      <c r="B32" s="17"/>
      <c r="C32" s="17"/>
      <c r="D32" s="17"/>
      <c r="E32" s="17"/>
    </row>
    <row r="33" customFormat="false" ht="31.5" hidden="false" customHeight="true" outlineLevel="0" collapsed="false">
      <c r="A33" s="7" t="s">
        <v>82</v>
      </c>
      <c r="B33" s="8" t="s">
        <v>83</v>
      </c>
      <c r="C33" s="9"/>
      <c r="D33" s="10" t="s">
        <v>57</v>
      </c>
      <c r="E33" s="11" t="s">
        <v>84</v>
      </c>
    </row>
    <row r="34" customFormat="false" ht="31.5" hidden="false" customHeight="true" outlineLevel="0" collapsed="false">
      <c r="A34" s="7" t="s">
        <v>85</v>
      </c>
      <c r="B34" s="8" t="s">
        <v>86</v>
      </c>
      <c r="C34" s="9"/>
      <c r="D34" s="10"/>
      <c r="E34" s="11" t="s">
        <v>87</v>
      </c>
    </row>
    <row r="35" customFormat="false" ht="31.5" hidden="false" customHeight="true" outlineLevel="0" collapsed="false">
      <c r="A35" s="7" t="s">
        <v>88</v>
      </c>
      <c r="B35" s="8" t="s">
        <v>89</v>
      </c>
      <c r="C35" s="9"/>
      <c r="D35" s="10"/>
      <c r="E35" s="11" t="s">
        <v>90</v>
      </c>
    </row>
    <row r="36" customFormat="false" ht="31.5" hidden="false" customHeight="true" outlineLevel="0" collapsed="false">
      <c r="A36" s="7" t="s">
        <v>91</v>
      </c>
      <c r="B36" s="8" t="s">
        <v>92</v>
      </c>
      <c r="C36" s="9"/>
      <c r="D36" s="10"/>
      <c r="E36" s="11" t="s">
        <v>93</v>
      </c>
    </row>
    <row r="37" customFormat="false" ht="21.75" hidden="false" customHeight="true" outlineLevel="0" collapsed="false">
      <c r="A37" s="18" t="s">
        <v>94</v>
      </c>
      <c r="B37" s="18"/>
      <c r="C37" s="18"/>
      <c r="D37" s="18"/>
      <c r="E37" s="18"/>
    </row>
    <row r="38" customFormat="false" ht="31.5" hidden="false" customHeight="true" outlineLevel="0" collapsed="false">
      <c r="A38" s="7" t="s">
        <v>95</v>
      </c>
      <c r="B38" s="8" t="s">
        <v>96</v>
      </c>
      <c r="C38" s="9"/>
      <c r="D38" s="10"/>
      <c r="E38" s="11" t="s">
        <v>97</v>
      </c>
    </row>
    <row r="39" customFormat="false" ht="31.5" hidden="false" customHeight="true" outlineLevel="0" collapsed="false">
      <c r="A39" s="7" t="s">
        <v>98</v>
      </c>
      <c r="B39" s="8" t="s">
        <v>99</v>
      </c>
      <c r="C39" s="9"/>
      <c r="D39" s="10"/>
      <c r="E39" s="11" t="s">
        <v>100</v>
      </c>
    </row>
    <row r="40" customFormat="false" ht="31.5" hidden="false" customHeight="true" outlineLevel="0" collapsed="false">
      <c r="A40" s="7" t="s">
        <v>101</v>
      </c>
      <c r="B40" s="8" t="s">
        <v>102</v>
      </c>
      <c r="C40" s="9"/>
      <c r="D40" s="10"/>
      <c r="E40" s="11" t="s">
        <v>103</v>
      </c>
    </row>
    <row r="41" customFormat="false" ht="21.75" hidden="false" customHeight="true" outlineLevel="0" collapsed="false">
      <c r="A41" s="19" t="s">
        <v>104</v>
      </c>
      <c r="B41" s="19"/>
      <c r="C41" s="19"/>
      <c r="D41" s="19"/>
      <c r="E41" s="19"/>
    </row>
    <row r="42" customFormat="false" ht="31.5" hidden="false" customHeight="true" outlineLevel="0" collapsed="false">
      <c r="A42" s="7" t="s">
        <v>105</v>
      </c>
      <c r="B42" s="8" t="s">
        <v>106</v>
      </c>
      <c r="C42" s="9"/>
      <c r="D42" s="10"/>
      <c r="E42" s="11" t="s">
        <v>107</v>
      </c>
    </row>
    <row r="43" customFormat="false" ht="31.5" hidden="false" customHeight="true" outlineLevel="0" collapsed="false">
      <c r="A43" s="7" t="s">
        <v>108</v>
      </c>
      <c r="B43" s="8" t="s">
        <v>109</v>
      </c>
      <c r="C43" s="9"/>
      <c r="D43" s="10"/>
      <c r="E43" s="11" t="s">
        <v>110</v>
      </c>
    </row>
    <row r="44" customFormat="false" ht="31.5" hidden="false" customHeight="true" outlineLevel="0" collapsed="false">
      <c r="A44" s="7" t="s">
        <v>111</v>
      </c>
      <c r="B44" s="8" t="s">
        <v>112</v>
      </c>
      <c r="C44" s="9"/>
      <c r="D44" s="10"/>
      <c r="E44" s="11" t="s">
        <v>113</v>
      </c>
    </row>
    <row r="45" customFormat="false" ht="31.5" hidden="false" customHeight="true" outlineLevel="0" collapsed="false">
      <c r="A45" s="7" t="s">
        <v>114</v>
      </c>
      <c r="B45" s="8" t="s">
        <v>115</v>
      </c>
      <c r="C45" s="9"/>
      <c r="D45" s="10"/>
      <c r="E45" s="11" t="s">
        <v>116</v>
      </c>
    </row>
    <row r="46" customFormat="false" ht="21.75" hidden="false" customHeight="true" outlineLevel="0" collapsed="false">
      <c r="A46" s="15" t="s">
        <v>117</v>
      </c>
      <c r="B46" s="15"/>
      <c r="C46" s="15"/>
      <c r="D46" s="15"/>
      <c r="E46" s="15"/>
    </row>
    <row r="47" customFormat="false" ht="31.5" hidden="false" customHeight="true" outlineLevel="0" collapsed="false">
      <c r="A47" s="7" t="s">
        <v>118</v>
      </c>
      <c r="B47" s="8" t="s">
        <v>119</v>
      </c>
      <c r="C47" s="9"/>
      <c r="D47" s="10"/>
      <c r="E47" s="11" t="s">
        <v>120</v>
      </c>
    </row>
    <row r="48" customFormat="false" ht="31.5" hidden="false" customHeight="true" outlineLevel="0" collapsed="false">
      <c r="A48" s="7" t="s">
        <v>121</v>
      </c>
      <c r="B48" s="8" t="s">
        <v>122</v>
      </c>
      <c r="C48" s="9"/>
      <c r="D48" s="10"/>
      <c r="E48" s="11" t="s">
        <v>123</v>
      </c>
    </row>
    <row r="49" customFormat="false" ht="31.5" hidden="false" customHeight="true" outlineLevel="0" collapsed="false">
      <c r="A49" s="7" t="s">
        <v>124</v>
      </c>
      <c r="B49" s="8" t="s">
        <v>125</v>
      </c>
      <c r="C49" s="9"/>
      <c r="D49" s="10"/>
      <c r="E49" s="11" t="s">
        <v>126</v>
      </c>
    </row>
    <row r="50" customFormat="false" ht="31.5" hidden="false" customHeight="true" outlineLevel="0" collapsed="false">
      <c r="A50" s="7" t="s">
        <v>127</v>
      </c>
      <c r="B50" s="8" t="s">
        <v>128</v>
      </c>
      <c r="C50" s="9"/>
      <c r="D50" s="10"/>
      <c r="E50" s="11" t="s">
        <v>129</v>
      </c>
    </row>
    <row r="51" customFormat="false" ht="21.75" hidden="false" customHeight="true" outlineLevel="0" collapsed="false">
      <c r="A51" s="14" t="s">
        <v>130</v>
      </c>
      <c r="B51" s="14"/>
      <c r="C51" s="14"/>
      <c r="D51" s="14"/>
      <c r="E51" s="14"/>
    </row>
    <row r="52" customFormat="false" ht="31.5" hidden="false" customHeight="true" outlineLevel="0" collapsed="false">
      <c r="A52" s="7" t="s">
        <v>131</v>
      </c>
      <c r="B52" s="8" t="s">
        <v>132</v>
      </c>
      <c r="C52" s="9"/>
      <c r="D52" s="10"/>
      <c r="E52" s="11" t="s">
        <v>133</v>
      </c>
    </row>
    <row r="53" customFormat="false" ht="31.5" hidden="false" customHeight="true" outlineLevel="0" collapsed="false">
      <c r="A53" s="7" t="s">
        <v>134</v>
      </c>
      <c r="B53" s="8" t="s">
        <v>135</v>
      </c>
      <c r="C53" s="9"/>
      <c r="D53" s="10"/>
      <c r="E53" s="11" t="s">
        <v>136</v>
      </c>
    </row>
    <row r="54" customFormat="false" ht="31.5" hidden="false" customHeight="true" outlineLevel="0" collapsed="false">
      <c r="A54" s="7" t="s">
        <v>137</v>
      </c>
      <c r="B54" s="8" t="s">
        <v>138</v>
      </c>
      <c r="C54" s="9"/>
      <c r="D54" s="10"/>
      <c r="E54" s="11" t="s">
        <v>139</v>
      </c>
    </row>
    <row r="55" customFormat="false" ht="31.5" hidden="false" customHeight="true" outlineLevel="0" collapsed="false">
      <c r="A55" s="7" t="s">
        <v>140</v>
      </c>
      <c r="B55" s="8" t="s">
        <v>141</v>
      </c>
      <c r="C55" s="9"/>
      <c r="D55" s="10"/>
      <c r="E55" s="11" t="s">
        <v>142</v>
      </c>
    </row>
    <row r="56" customFormat="false" ht="31.5" hidden="false" customHeight="true" outlineLevel="0" collapsed="false">
      <c r="A56" s="7" t="s">
        <v>143</v>
      </c>
      <c r="B56" s="8" t="s">
        <v>144</v>
      </c>
      <c r="C56" s="9"/>
      <c r="D56" s="10"/>
      <c r="E56" s="11" t="s">
        <v>145</v>
      </c>
    </row>
    <row r="57" customFormat="false" ht="13.5" hidden="false" customHeight="true" outlineLevel="0" collapsed="false">
      <c r="A57" s="20" t="s">
        <v>146</v>
      </c>
      <c r="B57" s="20"/>
      <c r="C57" s="20"/>
      <c r="D57" s="20"/>
      <c r="E57" s="20"/>
    </row>
  </sheetData>
  <mergeCells count="14">
    <mergeCell ref="A1:E1"/>
    <mergeCell ref="A2:E2"/>
    <mergeCell ref="A5:E5"/>
    <mergeCell ref="A7:E7"/>
    <mergeCell ref="A16:E16"/>
    <mergeCell ref="A17:E17"/>
    <mergeCell ref="A22:E22"/>
    <mergeCell ref="A28:E28"/>
    <mergeCell ref="A32:E32"/>
    <mergeCell ref="A37:E37"/>
    <mergeCell ref="A41:E41"/>
    <mergeCell ref="A46:E46"/>
    <mergeCell ref="A51:E51"/>
    <mergeCell ref="A57:E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DA4"/>
    <pageSetUpPr fitToPage="false"/>
  </sheetPr>
  <dimension ref="A1:E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38"/>
  </cols>
  <sheetData>
    <row r="1" customFormat="false" ht="42" hidden="false" customHeight="true" outlineLevel="0" collapsed="false">
      <c r="A1" s="1" t="s">
        <v>147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148</v>
      </c>
      <c r="B2" s="2"/>
      <c r="C2" s="2"/>
      <c r="D2" s="2"/>
      <c r="E2" s="2"/>
    </row>
    <row r="3" customFormat="false" ht="19.5" hidden="false" customHeight="true" outlineLevel="0" collapsed="false">
      <c r="A3" s="5" t="s">
        <v>149</v>
      </c>
      <c r="B3" s="5" t="s">
        <v>150</v>
      </c>
      <c r="C3" s="5" t="s">
        <v>8</v>
      </c>
      <c r="D3" s="5" t="s">
        <v>151</v>
      </c>
      <c r="E3" s="5" t="s">
        <v>152</v>
      </c>
    </row>
    <row r="4" customFormat="false" ht="21.75" hidden="false" customHeight="true" outlineLevel="0" collapsed="false">
      <c r="A4" s="21" t="s">
        <v>153</v>
      </c>
      <c r="B4" s="21"/>
      <c r="C4" s="21"/>
      <c r="D4" s="21"/>
      <c r="E4" s="21"/>
    </row>
    <row r="5" customFormat="false" ht="27.75" hidden="false" customHeight="true" outlineLevel="0" collapsed="false">
      <c r="A5" s="8" t="s">
        <v>154</v>
      </c>
      <c r="B5" s="22"/>
      <c r="C5" s="10"/>
      <c r="D5" s="23" t="s">
        <v>155</v>
      </c>
      <c r="E5" s="11" t="s">
        <v>156</v>
      </c>
    </row>
    <row r="6" customFormat="false" ht="27.75" hidden="false" customHeight="true" outlineLevel="0" collapsed="false">
      <c r="A6" s="8" t="s">
        <v>157</v>
      </c>
      <c r="B6" s="22"/>
      <c r="C6" s="10"/>
      <c r="D6" s="23" t="s">
        <v>158</v>
      </c>
      <c r="E6" s="11" t="s">
        <v>159</v>
      </c>
    </row>
    <row r="7" customFormat="false" ht="27.75" hidden="false" customHeight="true" outlineLevel="0" collapsed="false">
      <c r="A7" s="8" t="s">
        <v>160</v>
      </c>
      <c r="B7" s="22"/>
      <c r="C7" s="10" t="s">
        <v>161</v>
      </c>
      <c r="D7" s="23" t="s">
        <v>162</v>
      </c>
      <c r="E7" s="11" t="s">
        <v>163</v>
      </c>
    </row>
    <row r="8" customFormat="false" ht="27.75" hidden="false" customHeight="true" outlineLevel="0" collapsed="false">
      <c r="A8" s="8" t="s">
        <v>164</v>
      </c>
      <c r="B8" s="22"/>
      <c r="C8" s="10"/>
      <c r="D8" s="23" t="s">
        <v>165</v>
      </c>
      <c r="E8" s="11" t="s">
        <v>166</v>
      </c>
    </row>
    <row r="9" customFormat="false" ht="27.75" hidden="false" customHeight="true" outlineLevel="0" collapsed="false">
      <c r="A9" s="8" t="s">
        <v>167</v>
      </c>
      <c r="B9" s="22"/>
      <c r="C9" s="10"/>
      <c r="D9" s="23" t="s">
        <v>168</v>
      </c>
      <c r="E9" s="11" t="s">
        <v>169</v>
      </c>
    </row>
    <row r="10" customFormat="false" ht="27.75" hidden="false" customHeight="true" outlineLevel="0" collapsed="false">
      <c r="A10" s="8" t="s">
        <v>170</v>
      </c>
      <c r="B10" s="22"/>
      <c r="C10" s="10"/>
      <c r="D10" s="23" t="s">
        <v>171</v>
      </c>
      <c r="E10" s="11" t="s">
        <v>172</v>
      </c>
    </row>
    <row r="11" customFormat="false" ht="21.75" hidden="false" customHeight="true" outlineLevel="0" collapsed="false">
      <c r="A11" s="12" t="s">
        <v>173</v>
      </c>
      <c r="B11" s="12"/>
      <c r="C11" s="12"/>
      <c r="D11" s="12"/>
      <c r="E11" s="12"/>
    </row>
    <row r="12" customFormat="false" ht="27.75" hidden="false" customHeight="true" outlineLevel="0" collapsed="false">
      <c r="A12" s="8" t="s">
        <v>174</v>
      </c>
      <c r="B12" s="22"/>
      <c r="C12" s="10" t="s">
        <v>175</v>
      </c>
      <c r="D12" s="23" t="s">
        <v>176</v>
      </c>
      <c r="E12" s="11" t="s">
        <v>177</v>
      </c>
    </row>
    <row r="13" customFormat="false" ht="27.75" hidden="false" customHeight="true" outlineLevel="0" collapsed="false">
      <c r="A13" s="8" t="s">
        <v>178</v>
      </c>
      <c r="B13" s="22"/>
      <c r="C13" s="10" t="s">
        <v>175</v>
      </c>
      <c r="D13" s="23" t="s">
        <v>171</v>
      </c>
      <c r="E13" s="11" t="s">
        <v>179</v>
      </c>
    </row>
    <row r="14" customFormat="false" ht="27.75" hidden="false" customHeight="true" outlineLevel="0" collapsed="false">
      <c r="A14" s="8" t="s">
        <v>180</v>
      </c>
      <c r="B14" s="22"/>
      <c r="C14" s="10" t="s">
        <v>181</v>
      </c>
      <c r="D14" s="23" t="s">
        <v>171</v>
      </c>
      <c r="E14" s="11" t="s">
        <v>182</v>
      </c>
    </row>
    <row r="15" customFormat="false" ht="27.75" hidden="false" customHeight="true" outlineLevel="0" collapsed="false">
      <c r="A15" s="8" t="s">
        <v>183</v>
      </c>
      <c r="B15" s="22"/>
      <c r="C15" s="10" t="s">
        <v>181</v>
      </c>
      <c r="D15" s="23" t="s">
        <v>171</v>
      </c>
      <c r="E15" s="11"/>
    </row>
    <row r="16" customFormat="false" ht="27.75" hidden="false" customHeight="true" outlineLevel="0" collapsed="false">
      <c r="A16" s="8" t="s">
        <v>184</v>
      </c>
      <c r="B16" s="22"/>
      <c r="C16" s="10" t="s">
        <v>185</v>
      </c>
      <c r="D16" s="23" t="s">
        <v>186</v>
      </c>
      <c r="E16" s="11" t="s">
        <v>187</v>
      </c>
    </row>
    <row r="17" customFormat="false" ht="27.75" hidden="false" customHeight="true" outlineLevel="0" collapsed="false">
      <c r="A17" s="8" t="s">
        <v>188</v>
      </c>
      <c r="B17" s="22"/>
      <c r="C17" s="10" t="s">
        <v>189</v>
      </c>
      <c r="D17" s="23" t="s">
        <v>190</v>
      </c>
      <c r="E17" s="11" t="s">
        <v>191</v>
      </c>
    </row>
    <row r="18" customFormat="false" ht="27.75" hidden="false" customHeight="true" outlineLevel="0" collapsed="false">
      <c r="A18" s="8" t="s">
        <v>192</v>
      </c>
      <c r="B18" s="22"/>
      <c r="C18" s="10"/>
      <c r="D18" s="23" t="s">
        <v>193</v>
      </c>
      <c r="E18" s="11" t="s">
        <v>194</v>
      </c>
    </row>
    <row r="19" customFormat="false" ht="27.75" hidden="false" customHeight="true" outlineLevel="0" collapsed="false">
      <c r="A19" s="8" t="s">
        <v>195</v>
      </c>
      <c r="B19" s="22"/>
      <c r="C19" s="10" t="s">
        <v>196</v>
      </c>
      <c r="D19" s="23" t="s">
        <v>197</v>
      </c>
      <c r="E19" s="11" t="s">
        <v>198</v>
      </c>
    </row>
    <row r="20" customFormat="false" ht="27.75" hidden="false" customHeight="true" outlineLevel="0" collapsed="false">
      <c r="A20" s="8" t="s">
        <v>199</v>
      </c>
      <c r="B20" s="22"/>
      <c r="C20" s="10" t="s">
        <v>200</v>
      </c>
      <c r="D20" s="23" t="s">
        <v>197</v>
      </c>
      <c r="E20" s="11" t="s">
        <v>201</v>
      </c>
    </row>
    <row r="21" customFormat="false" ht="21.75" hidden="false" customHeight="true" outlineLevel="0" collapsed="false">
      <c r="A21" s="13" t="s">
        <v>202</v>
      </c>
      <c r="B21" s="13"/>
      <c r="C21" s="13"/>
      <c r="D21" s="13"/>
      <c r="E21" s="13"/>
    </row>
    <row r="22" customFormat="false" ht="27.75" hidden="false" customHeight="true" outlineLevel="0" collapsed="false">
      <c r="A22" s="24" t="s">
        <v>203</v>
      </c>
      <c r="B22" s="24"/>
      <c r="C22" s="24"/>
      <c r="D22" s="24"/>
      <c r="E22" s="24"/>
    </row>
    <row r="23" customFormat="false" ht="27.75" hidden="false" customHeight="true" outlineLevel="0" collapsed="false">
      <c r="A23" s="8" t="s">
        <v>204</v>
      </c>
      <c r="B23" s="22"/>
      <c r="C23" s="10" t="s">
        <v>205</v>
      </c>
      <c r="D23" s="23" t="s">
        <v>206</v>
      </c>
      <c r="E23" s="11" t="s">
        <v>207</v>
      </c>
    </row>
    <row r="24" customFormat="false" ht="27.75" hidden="false" customHeight="true" outlineLevel="0" collapsed="false">
      <c r="A24" s="8" t="s">
        <v>208</v>
      </c>
      <c r="B24" s="22"/>
      <c r="C24" s="10" t="s">
        <v>205</v>
      </c>
      <c r="D24" s="23" t="s">
        <v>206</v>
      </c>
      <c r="E24" s="11" t="s">
        <v>209</v>
      </c>
    </row>
    <row r="25" customFormat="false" ht="27.75" hidden="false" customHeight="true" outlineLevel="0" collapsed="false">
      <c r="A25" s="8" t="s">
        <v>210</v>
      </c>
      <c r="B25" s="22"/>
      <c r="C25" s="10" t="s">
        <v>211</v>
      </c>
      <c r="D25" s="23" t="s">
        <v>212</v>
      </c>
      <c r="E25" s="11" t="s">
        <v>213</v>
      </c>
    </row>
    <row r="26" customFormat="false" ht="27.75" hidden="false" customHeight="true" outlineLevel="0" collapsed="false">
      <c r="A26" s="8" t="s">
        <v>214</v>
      </c>
      <c r="B26" s="22"/>
      <c r="C26" s="10" t="s">
        <v>211</v>
      </c>
      <c r="D26" s="23" t="s">
        <v>171</v>
      </c>
      <c r="E26" s="11"/>
    </row>
    <row r="27" customFormat="false" ht="27.75" hidden="false" customHeight="true" outlineLevel="0" collapsed="false">
      <c r="A27" s="8" t="s">
        <v>215</v>
      </c>
      <c r="B27" s="22"/>
      <c r="C27" s="10"/>
      <c r="D27" s="23" t="s">
        <v>216</v>
      </c>
      <c r="E27" s="11" t="s">
        <v>217</v>
      </c>
    </row>
    <row r="28" customFormat="false" ht="27.75" hidden="false" customHeight="true" outlineLevel="0" collapsed="false">
      <c r="A28" s="8" t="s">
        <v>218</v>
      </c>
      <c r="B28" s="22"/>
      <c r="C28" s="10"/>
      <c r="D28" s="23" t="s">
        <v>216</v>
      </c>
      <c r="E28" s="11"/>
    </row>
    <row r="29" customFormat="false" ht="27.75" hidden="false" customHeight="true" outlineLevel="0" collapsed="false">
      <c r="A29" s="8" t="s">
        <v>219</v>
      </c>
      <c r="B29" s="22"/>
      <c r="C29" s="10"/>
      <c r="D29" s="23" t="s">
        <v>220</v>
      </c>
      <c r="E29" s="11" t="s">
        <v>221</v>
      </c>
    </row>
    <row r="30" customFormat="false" ht="27.75" hidden="false" customHeight="true" outlineLevel="0" collapsed="false">
      <c r="A30" s="8" t="s">
        <v>222</v>
      </c>
      <c r="B30" s="25" t="str">
        <f aca="false">IF(AND(B23&lt;&gt;"",B12&lt;&gt;"",B12&gt;0),B23*1000/(B12/3600),"")</f>
        <v/>
      </c>
      <c r="C30" s="10" t="s">
        <v>223</v>
      </c>
      <c r="D30" s="23" t="s">
        <v>224</v>
      </c>
      <c r="E30" s="11" t="s">
        <v>225</v>
      </c>
    </row>
    <row r="31" customFormat="false" ht="27.75" hidden="false" customHeight="true" outlineLevel="0" collapsed="false">
      <c r="A31" s="8" t="s">
        <v>226</v>
      </c>
      <c r="B31" s="25" t="str">
        <f aca="false">IF(AND(B24&lt;&gt;"",B12&lt;&gt;"",B12&gt;0),B24*1000/(B12/3600),"")</f>
        <v/>
      </c>
      <c r="C31" s="10" t="s">
        <v>223</v>
      </c>
      <c r="D31" s="23" t="s">
        <v>224</v>
      </c>
      <c r="E31" s="11" t="s">
        <v>227</v>
      </c>
    </row>
    <row r="32" customFormat="false" ht="27.75" hidden="false" customHeight="true" outlineLevel="0" collapsed="false">
      <c r="A32" s="8" t="s">
        <v>228</v>
      </c>
      <c r="B32" s="25" t="str">
        <f aca="false">IF(AND(B30&lt;&gt;"",B29&lt;&gt;""),B30+B29,"")</f>
        <v/>
      </c>
      <c r="C32" s="10" t="s">
        <v>223</v>
      </c>
      <c r="D32" s="23" t="s">
        <v>224</v>
      </c>
      <c r="E32" s="11" t="s">
        <v>229</v>
      </c>
    </row>
    <row r="33" customFormat="false" ht="27.75" hidden="false" customHeight="true" outlineLevel="0" collapsed="false">
      <c r="A33" s="8" t="s">
        <v>230</v>
      </c>
      <c r="B33" s="25" t="str">
        <f aca="false">IF(B31="","Brak danych",IF(B31&lt;500,"SFP1 ★★★★",IF(B31&lt;750,"SFP2 ★★★",IF(B31&lt;1250,"SFP3 ★★",IF(B31&lt;2000,"SFP5 ★","SFP7 ✗")))))</f>
        <v>Brak danych</v>
      </c>
      <c r="C33" s="10"/>
      <c r="D33" s="23" t="s">
        <v>224</v>
      </c>
      <c r="E33" s="11" t="s">
        <v>231</v>
      </c>
    </row>
    <row r="34" customFormat="false" ht="21.75" hidden="false" customHeight="true" outlineLevel="0" collapsed="false">
      <c r="A34" s="26" t="s">
        <v>232</v>
      </c>
      <c r="B34" s="26"/>
      <c r="C34" s="26"/>
      <c r="D34" s="26"/>
      <c r="E34" s="26"/>
    </row>
    <row r="35" customFormat="false" ht="27.75" hidden="false" customHeight="true" outlineLevel="0" collapsed="false">
      <c r="A35" s="27" t="s">
        <v>233</v>
      </c>
      <c r="B35" s="27"/>
      <c r="C35" s="27"/>
      <c r="D35" s="27"/>
      <c r="E35" s="27"/>
    </row>
    <row r="36" customFormat="false" ht="27.75" hidden="false" customHeight="true" outlineLevel="0" collapsed="false">
      <c r="A36" s="8" t="s">
        <v>234</v>
      </c>
      <c r="B36" s="22"/>
      <c r="C36" s="10"/>
      <c r="D36" s="23" t="s">
        <v>171</v>
      </c>
      <c r="E36" s="11" t="s">
        <v>235</v>
      </c>
    </row>
    <row r="37" customFormat="false" ht="27.75" hidden="false" customHeight="true" outlineLevel="0" collapsed="false">
      <c r="A37" s="8" t="s">
        <v>236</v>
      </c>
      <c r="B37" s="22"/>
      <c r="C37" s="10" t="s">
        <v>211</v>
      </c>
      <c r="D37" s="23" t="s">
        <v>237</v>
      </c>
      <c r="E37" s="11" t="s">
        <v>238</v>
      </c>
    </row>
    <row r="38" customFormat="false" ht="27.75" hidden="false" customHeight="true" outlineLevel="0" collapsed="false">
      <c r="A38" s="8" t="s">
        <v>239</v>
      </c>
      <c r="B38" s="22"/>
      <c r="C38" s="10" t="s">
        <v>211</v>
      </c>
      <c r="D38" s="23" t="s">
        <v>171</v>
      </c>
      <c r="E38" s="11" t="s">
        <v>240</v>
      </c>
    </row>
    <row r="39" customFormat="false" ht="27.75" hidden="false" customHeight="true" outlineLevel="0" collapsed="false">
      <c r="A39" s="8" t="s">
        <v>241</v>
      </c>
      <c r="B39" s="22"/>
      <c r="C39" s="10" t="s">
        <v>211</v>
      </c>
      <c r="D39" s="23" t="s">
        <v>168</v>
      </c>
      <c r="E39" s="11" t="s">
        <v>242</v>
      </c>
    </row>
    <row r="40" customFormat="false" ht="27.75" hidden="false" customHeight="true" outlineLevel="0" collapsed="false">
      <c r="A40" s="8" t="s">
        <v>243</v>
      </c>
      <c r="B40" s="22"/>
      <c r="C40" s="10"/>
      <c r="D40" s="23" t="s">
        <v>171</v>
      </c>
      <c r="E40" s="11" t="s">
        <v>244</v>
      </c>
    </row>
    <row r="41" customFormat="false" ht="27.75" hidden="false" customHeight="true" outlineLevel="0" collapsed="false">
      <c r="A41" s="8" t="s">
        <v>245</v>
      </c>
      <c r="B41" s="22"/>
      <c r="C41" s="10"/>
      <c r="D41" s="23" t="s">
        <v>246</v>
      </c>
      <c r="E41" s="11" t="s">
        <v>247</v>
      </c>
    </row>
    <row r="42" customFormat="false" ht="27.75" hidden="false" customHeight="true" outlineLevel="0" collapsed="false">
      <c r="A42" s="8" t="s">
        <v>248</v>
      </c>
      <c r="B42" s="22"/>
      <c r="C42" s="10"/>
      <c r="D42" s="23" t="s">
        <v>171</v>
      </c>
      <c r="E42" s="11" t="s">
        <v>249</v>
      </c>
    </row>
    <row r="43" customFormat="false" ht="27.75" hidden="false" customHeight="true" outlineLevel="0" collapsed="false">
      <c r="A43" s="8" t="s">
        <v>250</v>
      </c>
      <c r="B43" s="22"/>
      <c r="C43" s="10"/>
      <c r="D43" s="23" t="s">
        <v>251</v>
      </c>
      <c r="E43" s="11" t="s">
        <v>252</v>
      </c>
    </row>
    <row r="44" customFormat="false" ht="21.75" hidden="false" customHeight="true" outlineLevel="0" collapsed="false">
      <c r="A44" s="28" t="s">
        <v>253</v>
      </c>
      <c r="B44" s="28"/>
      <c r="C44" s="28"/>
      <c r="D44" s="28"/>
      <c r="E44" s="28"/>
    </row>
    <row r="45" customFormat="false" ht="27.75" hidden="false" customHeight="true" outlineLevel="0" collapsed="false">
      <c r="A45" s="29" t="s">
        <v>254</v>
      </c>
      <c r="B45" s="29"/>
      <c r="C45" s="29"/>
      <c r="D45" s="29"/>
      <c r="E45" s="29"/>
    </row>
    <row r="46" customFormat="false" ht="27.75" hidden="false" customHeight="true" outlineLevel="0" collapsed="false">
      <c r="A46" s="8" t="s">
        <v>255</v>
      </c>
      <c r="B46" s="22"/>
      <c r="C46" s="10"/>
      <c r="D46" s="23" t="s">
        <v>256</v>
      </c>
      <c r="E46" s="11" t="s">
        <v>257</v>
      </c>
    </row>
    <row r="47" customFormat="false" ht="27.75" hidden="false" customHeight="true" outlineLevel="0" collapsed="false">
      <c r="A47" s="8" t="s">
        <v>258</v>
      </c>
      <c r="B47" s="22"/>
      <c r="C47" s="10"/>
      <c r="D47" s="23" t="s">
        <v>256</v>
      </c>
      <c r="E47" s="11" t="s">
        <v>259</v>
      </c>
    </row>
    <row r="48" customFormat="false" ht="27.75" hidden="false" customHeight="true" outlineLevel="0" collapsed="false">
      <c r="A48" s="8" t="s">
        <v>260</v>
      </c>
      <c r="B48" s="22"/>
      <c r="C48" s="10"/>
      <c r="D48" s="23" t="s">
        <v>171</v>
      </c>
      <c r="E48" s="11" t="s">
        <v>261</v>
      </c>
    </row>
    <row r="49" customFormat="false" ht="27.75" hidden="false" customHeight="true" outlineLevel="0" collapsed="false">
      <c r="A49" s="8" t="s">
        <v>262</v>
      </c>
      <c r="B49" s="22"/>
      <c r="C49" s="10" t="s">
        <v>181</v>
      </c>
      <c r="D49" s="23" t="s">
        <v>263</v>
      </c>
      <c r="E49" s="11" t="s">
        <v>264</v>
      </c>
    </row>
    <row r="50" customFormat="false" ht="27.75" hidden="false" customHeight="true" outlineLevel="0" collapsed="false">
      <c r="A50" s="8" t="s">
        <v>265</v>
      </c>
      <c r="B50" s="22"/>
      <c r="C50" s="10" t="s">
        <v>181</v>
      </c>
      <c r="D50" s="23" t="s">
        <v>171</v>
      </c>
      <c r="E50" s="11" t="s">
        <v>266</v>
      </c>
    </row>
    <row r="51" customFormat="false" ht="27.75" hidden="false" customHeight="true" outlineLevel="0" collapsed="false">
      <c r="A51" s="8" t="s">
        <v>267</v>
      </c>
      <c r="B51" s="22"/>
      <c r="C51" s="10" t="s">
        <v>181</v>
      </c>
      <c r="D51" s="23" t="s">
        <v>171</v>
      </c>
      <c r="E51" s="11" t="s">
        <v>268</v>
      </c>
    </row>
    <row r="52" customFormat="false" ht="27.75" hidden="false" customHeight="true" outlineLevel="0" collapsed="false">
      <c r="A52" s="8" t="s">
        <v>269</v>
      </c>
      <c r="B52" s="22"/>
      <c r="C52" s="10" t="s">
        <v>181</v>
      </c>
      <c r="D52" s="23" t="s">
        <v>171</v>
      </c>
      <c r="E52" s="11" t="s">
        <v>270</v>
      </c>
    </row>
    <row r="53" customFormat="false" ht="27.75" hidden="false" customHeight="true" outlineLevel="0" collapsed="false">
      <c r="A53" s="8" t="s">
        <v>271</v>
      </c>
      <c r="B53" s="22"/>
      <c r="C53" s="10" t="s">
        <v>181</v>
      </c>
      <c r="D53" s="23" t="s">
        <v>272</v>
      </c>
      <c r="E53" s="11" t="s">
        <v>273</v>
      </c>
    </row>
    <row r="54" customFormat="false" ht="27.75" hidden="false" customHeight="true" outlineLevel="0" collapsed="false">
      <c r="A54" s="8" t="s">
        <v>274</v>
      </c>
      <c r="B54" s="22"/>
      <c r="C54" s="10" t="s">
        <v>181</v>
      </c>
      <c r="D54" s="23" t="s">
        <v>272</v>
      </c>
      <c r="E54" s="11"/>
    </row>
    <row r="55" customFormat="false" ht="27.75" hidden="false" customHeight="true" outlineLevel="0" collapsed="false">
      <c r="A55" s="8" t="s">
        <v>275</v>
      </c>
      <c r="B55" s="25" t="str">
        <f aca="false">IF(B52="","Brak pomiaru",IF(B48="","Brak progu z DTR",IF(B52&gt;=B49,"❌ WYMIANA PILNA (ΔP ≥ alarm)",IF(B52&gt;=B48*1.5,"⚠️ Zbliża się wymiana","✅ OK"))))</f>
        <v>Brak pomiaru</v>
      </c>
      <c r="C55" s="10"/>
      <c r="D55" s="23" t="s">
        <v>276</v>
      </c>
      <c r="E55" s="11" t="s">
        <v>277</v>
      </c>
    </row>
    <row r="56" customFormat="false" ht="27.75" hidden="false" customHeight="true" outlineLevel="0" collapsed="false">
      <c r="A56" s="8" t="s">
        <v>278</v>
      </c>
      <c r="B56" s="25" t="str">
        <f aca="false">IF(B53="","Brak pomiaru",IF(B51="","Brak progu z DTR",IF(B53&gt;=B51,"❌ WYMIANA PILNA",IF(B53&gt;=B50*1.5,"⚠️ Zbliża się wymiana","✅ OK"))))</f>
        <v>Brak pomiaru</v>
      </c>
      <c r="C56" s="10"/>
      <c r="D56" s="23" t="s">
        <v>276</v>
      </c>
      <c r="E56" s="11"/>
    </row>
    <row r="57" customFormat="false" ht="27.75" hidden="false" customHeight="true" outlineLevel="0" collapsed="false">
      <c r="A57" s="8" t="s">
        <v>279</v>
      </c>
      <c r="B57" s="22"/>
      <c r="C57" s="10" t="s">
        <v>280</v>
      </c>
      <c r="D57" s="23" t="s">
        <v>281</v>
      </c>
      <c r="E57" s="11" t="s">
        <v>282</v>
      </c>
    </row>
    <row r="58" customFormat="false" ht="21.75" hidden="false" customHeight="true" outlineLevel="0" collapsed="false">
      <c r="A58" s="6" t="s">
        <v>283</v>
      </c>
      <c r="B58" s="6"/>
      <c r="C58" s="6"/>
      <c r="D58" s="6"/>
      <c r="E58" s="6"/>
    </row>
    <row r="59" customFormat="false" ht="27.75" hidden="false" customHeight="true" outlineLevel="0" collapsed="false">
      <c r="A59" s="8" t="s">
        <v>284</v>
      </c>
      <c r="B59" s="22"/>
      <c r="C59" s="10"/>
      <c r="D59" s="23" t="s">
        <v>171</v>
      </c>
      <c r="E59" s="11" t="s">
        <v>285</v>
      </c>
    </row>
    <row r="60" customFormat="false" ht="27.75" hidden="false" customHeight="true" outlineLevel="0" collapsed="false">
      <c r="A60" s="8" t="s">
        <v>286</v>
      </c>
      <c r="B60" s="22"/>
      <c r="C60" s="10" t="s">
        <v>205</v>
      </c>
      <c r="D60" s="23" t="s">
        <v>287</v>
      </c>
      <c r="E60" s="11" t="s">
        <v>288</v>
      </c>
    </row>
    <row r="61" customFormat="false" ht="27.75" hidden="false" customHeight="true" outlineLevel="0" collapsed="false">
      <c r="A61" s="8" t="s">
        <v>289</v>
      </c>
      <c r="B61" s="22"/>
      <c r="C61" s="10" t="s">
        <v>290</v>
      </c>
      <c r="D61" s="23" t="s">
        <v>171</v>
      </c>
      <c r="E61" s="11" t="s">
        <v>291</v>
      </c>
    </row>
    <row r="62" customFormat="false" ht="27.75" hidden="false" customHeight="true" outlineLevel="0" collapsed="false">
      <c r="A62" s="8" t="s">
        <v>292</v>
      </c>
      <c r="B62" s="22"/>
      <c r="C62" s="10"/>
      <c r="D62" s="23" t="s">
        <v>171</v>
      </c>
      <c r="E62" s="11" t="s">
        <v>293</v>
      </c>
    </row>
    <row r="63" customFormat="false" ht="27.75" hidden="false" customHeight="true" outlineLevel="0" collapsed="false">
      <c r="A63" s="8" t="s">
        <v>294</v>
      </c>
      <c r="B63" s="22"/>
      <c r="C63" s="10" t="s">
        <v>205</v>
      </c>
      <c r="D63" s="23" t="s">
        <v>287</v>
      </c>
      <c r="E63" s="11" t="s">
        <v>295</v>
      </c>
    </row>
    <row r="64" customFormat="false" ht="27.75" hidden="false" customHeight="true" outlineLevel="0" collapsed="false">
      <c r="A64" s="8" t="s">
        <v>296</v>
      </c>
      <c r="B64" s="22"/>
      <c r="C64" s="10" t="s">
        <v>290</v>
      </c>
      <c r="D64" s="23" t="s">
        <v>171</v>
      </c>
      <c r="E64" s="11" t="s">
        <v>297</v>
      </c>
    </row>
    <row r="65" customFormat="false" ht="27.75" hidden="false" customHeight="true" outlineLevel="0" collapsed="false">
      <c r="A65" s="8" t="s">
        <v>298</v>
      </c>
      <c r="B65" s="22"/>
      <c r="C65" s="10"/>
      <c r="D65" s="23" t="s">
        <v>299</v>
      </c>
      <c r="E65" s="11" t="s">
        <v>300</v>
      </c>
    </row>
    <row r="66" customFormat="false" ht="27.75" hidden="false" customHeight="true" outlineLevel="0" collapsed="false">
      <c r="A66" s="8" t="s">
        <v>301</v>
      </c>
      <c r="B66" s="22"/>
      <c r="C66" s="10" t="s">
        <v>205</v>
      </c>
      <c r="D66" s="23" t="s">
        <v>171</v>
      </c>
      <c r="E66" s="11" t="s">
        <v>302</v>
      </c>
    </row>
    <row r="67" customFormat="false" ht="21.75" hidden="false" customHeight="true" outlineLevel="0" collapsed="false">
      <c r="A67" s="21" t="s">
        <v>303</v>
      </c>
      <c r="B67" s="21"/>
      <c r="C67" s="21"/>
      <c r="D67" s="21"/>
      <c r="E67" s="21"/>
    </row>
    <row r="68" customFormat="false" ht="27.75" hidden="false" customHeight="true" outlineLevel="0" collapsed="false">
      <c r="A68" s="30" t="s">
        <v>304</v>
      </c>
      <c r="B68" s="30"/>
      <c r="C68" s="30"/>
      <c r="D68" s="30"/>
      <c r="E68" s="30"/>
    </row>
    <row r="69" customFormat="false" ht="27.75" hidden="false" customHeight="true" outlineLevel="0" collapsed="false">
      <c r="A69" s="8" t="s">
        <v>305</v>
      </c>
      <c r="B69" s="22"/>
      <c r="C69" s="10"/>
      <c r="D69" s="23" t="s">
        <v>306</v>
      </c>
      <c r="E69" s="11" t="s">
        <v>307</v>
      </c>
    </row>
    <row r="70" customFormat="false" ht="27.75" hidden="false" customHeight="true" outlineLevel="0" collapsed="false">
      <c r="A70" s="8" t="s">
        <v>308</v>
      </c>
      <c r="B70" s="22"/>
      <c r="C70" s="10"/>
      <c r="D70" s="23" t="s">
        <v>306</v>
      </c>
      <c r="E70" s="11" t="s">
        <v>309</v>
      </c>
    </row>
    <row r="71" customFormat="false" ht="27.75" hidden="false" customHeight="true" outlineLevel="0" collapsed="false">
      <c r="A71" s="8" t="s">
        <v>310</v>
      </c>
      <c r="B71" s="22"/>
      <c r="C71" s="10"/>
      <c r="D71" s="23" t="s">
        <v>306</v>
      </c>
      <c r="E71" s="11" t="s">
        <v>311</v>
      </c>
    </row>
    <row r="72" customFormat="false" ht="27.75" hidden="false" customHeight="true" outlineLevel="0" collapsed="false">
      <c r="A72" s="8" t="s">
        <v>312</v>
      </c>
      <c r="B72" s="22"/>
      <c r="C72" s="10"/>
      <c r="D72" s="23" t="s">
        <v>306</v>
      </c>
      <c r="E72" s="11" t="s">
        <v>313</v>
      </c>
    </row>
    <row r="73" customFormat="false" ht="21.75" hidden="false" customHeight="true" outlineLevel="0" collapsed="false">
      <c r="A73" s="31" t="s">
        <v>314</v>
      </c>
      <c r="B73" s="31"/>
      <c r="C73" s="31"/>
      <c r="D73" s="31"/>
      <c r="E73" s="31"/>
    </row>
    <row r="74" customFormat="false" ht="27.75" hidden="false" customHeight="true" outlineLevel="0" collapsed="false">
      <c r="A74" s="8" t="s">
        <v>315</v>
      </c>
      <c r="B74" s="22"/>
      <c r="C74" s="10"/>
      <c r="D74" s="23" t="s">
        <v>197</v>
      </c>
      <c r="E74" s="11" t="s">
        <v>316</v>
      </c>
    </row>
    <row r="75" customFormat="false" ht="27.75" hidden="false" customHeight="true" outlineLevel="0" collapsed="false">
      <c r="A75" s="8" t="s">
        <v>199</v>
      </c>
      <c r="B75" s="22"/>
      <c r="C75" s="10" t="s">
        <v>200</v>
      </c>
      <c r="D75" s="23" t="s">
        <v>197</v>
      </c>
      <c r="E75" s="11" t="s">
        <v>317</v>
      </c>
    </row>
    <row r="76" customFormat="false" ht="27.75" hidden="false" customHeight="true" outlineLevel="0" collapsed="false">
      <c r="A76" s="8" t="s">
        <v>318</v>
      </c>
      <c r="B76" s="22"/>
      <c r="C76" s="10" t="s">
        <v>319</v>
      </c>
      <c r="D76" s="23" t="s">
        <v>197</v>
      </c>
      <c r="E76" s="11" t="s">
        <v>320</v>
      </c>
    </row>
    <row r="77" customFormat="false" ht="27.75" hidden="false" customHeight="true" outlineLevel="0" collapsed="false">
      <c r="A77" s="8" t="s">
        <v>321</v>
      </c>
      <c r="B77" s="22"/>
      <c r="C77" s="10"/>
      <c r="D77" s="23" t="s">
        <v>322</v>
      </c>
      <c r="E77" s="11" t="s">
        <v>323</v>
      </c>
    </row>
    <row r="78" customFormat="false" ht="27.75" hidden="false" customHeight="true" outlineLevel="0" collapsed="false">
      <c r="A78" s="8" t="s">
        <v>324</v>
      </c>
      <c r="B78" s="22"/>
      <c r="C78" s="10"/>
      <c r="D78" s="23" t="s">
        <v>325</v>
      </c>
      <c r="E78" s="11" t="s">
        <v>326</v>
      </c>
    </row>
    <row r="79" customFormat="false" ht="13.5" hidden="false" customHeight="true" outlineLevel="0" collapsed="false">
      <c r="A79" s="20" t="s">
        <v>327</v>
      </c>
      <c r="B79" s="20"/>
      <c r="C79" s="20"/>
      <c r="D79" s="20"/>
      <c r="E79" s="20"/>
    </row>
  </sheetData>
  <mergeCells count="15">
    <mergeCell ref="A1:E1"/>
    <mergeCell ref="A2:E2"/>
    <mergeCell ref="A4:E4"/>
    <mergeCell ref="A11:E11"/>
    <mergeCell ref="A21:E21"/>
    <mergeCell ref="A22:E22"/>
    <mergeCell ref="A34:E34"/>
    <mergeCell ref="A35:E35"/>
    <mergeCell ref="A44:E44"/>
    <mergeCell ref="A45:E45"/>
    <mergeCell ref="A58:E58"/>
    <mergeCell ref="A67:E67"/>
    <mergeCell ref="A68:E68"/>
    <mergeCell ref="A73:E73"/>
    <mergeCell ref="A79:E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5C"/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24"/>
  </cols>
  <sheetData>
    <row r="1" customFormat="false" ht="42" hidden="false" customHeight="true" outlineLevel="0" collapsed="false">
      <c r="A1" s="1" t="s">
        <v>328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329</v>
      </c>
      <c r="B2" s="2"/>
      <c r="C2" s="2"/>
      <c r="D2" s="2"/>
      <c r="E2" s="2"/>
    </row>
    <row r="3" customFormat="false" ht="21.75" hidden="false" customHeight="true" outlineLevel="0" collapsed="false">
      <c r="A3" s="3" t="s">
        <v>2</v>
      </c>
      <c r="B3" s="4"/>
      <c r="C3" s="3" t="s">
        <v>330</v>
      </c>
      <c r="D3" s="4"/>
      <c r="E3" s="3" t="s">
        <v>331</v>
      </c>
    </row>
    <row r="4" customFormat="false" ht="21.75" hidden="false" customHeight="true" outlineLevel="0" collapsed="false">
      <c r="A4" s="13" t="s">
        <v>332</v>
      </c>
      <c r="B4" s="13"/>
      <c r="C4" s="13"/>
      <c r="D4" s="13"/>
      <c r="E4" s="13"/>
    </row>
    <row r="5" customFormat="false" ht="24" hidden="false" customHeight="true" outlineLevel="0" collapsed="false">
      <c r="A5" s="32" t="s">
        <v>154</v>
      </c>
      <c r="B5" s="33" t="s">
        <v>333</v>
      </c>
      <c r="C5" s="34"/>
      <c r="D5" s="35"/>
      <c r="E5" s="36"/>
    </row>
    <row r="6" customFormat="false" ht="24" hidden="false" customHeight="true" outlineLevel="0" collapsed="false">
      <c r="A6" s="32" t="s">
        <v>334</v>
      </c>
      <c r="B6" s="33" t="s">
        <v>333</v>
      </c>
      <c r="C6" s="34"/>
      <c r="D6" s="35"/>
      <c r="E6" s="36"/>
    </row>
    <row r="7" customFormat="false" ht="24" hidden="false" customHeight="true" outlineLevel="0" collapsed="false">
      <c r="A7" s="32" t="s">
        <v>160</v>
      </c>
      <c r="B7" s="33" t="s">
        <v>333</v>
      </c>
      <c r="C7" s="34"/>
      <c r="D7" s="35"/>
      <c r="E7" s="36"/>
    </row>
    <row r="8" customFormat="false" ht="24" hidden="false" customHeight="true" outlineLevel="0" collapsed="false">
      <c r="A8" s="32" t="s">
        <v>335</v>
      </c>
      <c r="B8" s="33" t="s">
        <v>333</v>
      </c>
      <c r="C8" s="34"/>
      <c r="D8" s="35"/>
      <c r="E8" s="36"/>
    </row>
    <row r="9" customFormat="false" ht="24" hidden="false" customHeight="true" outlineLevel="0" collapsed="false">
      <c r="A9" s="32" t="s">
        <v>336</v>
      </c>
      <c r="B9" s="33" t="s">
        <v>337</v>
      </c>
      <c r="C9" s="34"/>
      <c r="D9" s="35"/>
      <c r="E9" s="36"/>
    </row>
    <row r="10" customFormat="false" ht="24" hidden="false" customHeight="true" outlineLevel="0" collapsed="false">
      <c r="A10" s="32" t="s">
        <v>338</v>
      </c>
      <c r="B10" s="33" t="s">
        <v>339</v>
      </c>
      <c r="C10" s="34"/>
      <c r="D10" s="35"/>
      <c r="E10" s="36"/>
    </row>
    <row r="11" customFormat="false" ht="24" hidden="false" customHeight="true" outlineLevel="0" collapsed="false">
      <c r="A11" s="32" t="s">
        <v>234</v>
      </c>
      <c r="B11" s="33" t="s">
        <v>340</v>
      </c>
      <c r="C11" s="34"/>
      <c r="D11" s="35"/>
      <c r="E11" s="36"/>
    </row>
    <row r="12" customFormat="false" ht="24" hidden="false" customHeight="true" outlineLevel="0" collapsed="false">
      <c r="A12" s="32" t="s">
        <v>341</v>
      </c>
      <c r="B12" s="33" t="s">
        <v>342</v>
      </c>
      <c r="C12" s="34"/>
      <c r="D12" s="35"/>
      <c r="E12" s="36"/>
    </row>
    <row r="13" customFormat="false" ht="21.75" hidden="false" customHeight="true" outlineLevel="0" collapsed="false">
      <c r="A13" s="21" t="s">
        <v>343</v>
      </c>
      <c r="B13" s="21"/>
      <c r="C13" s="21"/>
      <c r="D13" s="21"/>
      <c r="E13" s="21"/>
    </row>
    <row r="14" customFormat="false" ht="18" hidden="false" customHeight="true" outlineLevel="0" collapsed="false">
      <c r="A14" s="37" t="s">
        <v>344</v>
      </c>
      <c r="B14" s="37" t="s">
        <v>150</v>
      </c>
      <c r="C14" s="37" t="s">
        <v>345</v>
      </c>
      <c r="D14" s="37" t="s">
        <v>346</v>
      </c>
      <c r="E14" s="37" t="s">
        <v>347</v>
      </c>
    </row>
    <row r="15" customFormat="false" ht="27.75" hidden="false" customHeight="true" outlineLevel="0" collapsed="false">
      <c r="A15" s="38" t="s">
        <v>348</v>
      </c>
      <c r="B15" s="39" t="s">
        <v>349</v>
      </c>
      <c r="C15" s="34" t="s">
        <v>223</v>
      </c>
      <c r="D15" s="36" t="s">
        <v>350</v>
      </c>
      <c r="E15" s="35" t="s">
        <v>351</v>
      </c>
    </row>
    <row r="16" customFormat="false" ht="27.75" hidden="false" customHeight="true" outlineLevel="0" collapsed="false">
      <c r="A16" s="38" t="s">
        <v>230</v>
      </c>
      <c r="B16" s="39" t="s">
        <v>349</v>
      </c>
      <c r="C16" s="34"/>
      <c r="D16" s="36" t="s">
        <v>352</v>
      </c>
      <c r="E16" s="35" t="s">
        <v>351</v>
      </c>
    </row>
    <row r="17" customFormat="false" ht="27.75" hidden="false" customHeight="true" outlineLevel="0" collapsed="false">
      <c r="A17" s="38" t="s">
        <v>353</v>
      </c>
      <c r="B17" s="39" t="s">
        <v>340</v>
      </c>
      <c r="C17" s="34" t="s">
        <v>211</v>
      </c>
      <c r="D17" s="36" t="s">
        <v>354</v>
      </c>
      <c r="E17" s="35" t="s">
        <v>351</v>
      </c>
    </row>
    <row r="18" customFormat="false" ht="27.75" hidden="false" customHeight="true" outlineLevel="0" collapsed="false">
      <c r="A18" s="38" t="s">
        <v>355</v>
      </c>
      <c r="B18" s="39" t="s">
        <v>340</v>
      </c>
      <c r="C18" s="34" t="s">
        <v>211</v>
      </c>
      <c r="D18" s="36" t="s">
        <v>356</v>
      </c>
      <c r="E18" s="35" t="s">
        <v>357</v>
      </c>
    </row>
    <row r="19" customFormat="false" ht="27.75" hidden="false" customHeight="true" outlineLevel="0" collapsed="false">
      <c r="A19" s="38" t="s">
        <v>358</v>
      </c>
      <c r="B19" s="39" t="s">
        <v>359</v>
      </c>
      <c r="C19" s="34"/>
      <c r="D19" s="36" t="s">
        <v>360</v>
      </c>
      <c r="E19" s="35" t="s">
        <v>351</v>
      </c>
    </row>
    <row r="20" customFormat="false" ht="27.75" hidden="false" customHeight="true" outlineLevel="0" collapsed="false">
      <c r="A20" s="38" t="s">
        <v>361</v>
      </c>
      <c r="B20" s="39" t="s">
        <v>359</v>
      </c>
      <c r="C20" s="34"/>
      <c r="D20" s="36"/>
      <c r="E20" s="35" t="s">
        <v>351</v>
      </c>
    </row>
    <row r="21" customFormat="false" ht="27.75" hidden="false" customHeight="true" outlineLevel="0" collapsed="false">
      <c r="A21" s="38" t="s">
        <v>305</v>
      </c>
      <c r="B21" s="39" t="s">
        <v>362</v>
      </c>
      <c r="C21" s="34"/>
      <c r="D21" s="36" t="s">
        <v>363</v>
      </c>
      <c r="E21" s="35" t="s">
        <v>357</v>
      </c>
    </row>
    <row r="22" customFormat="false" ht="27.75" hidden="false" customHeight="true" outlineLevel="0" collapsed="false">
      <c r="A22" s="38" t="s">
        <v>364</v>
      </c>
      <c r="B22" s="39" t="s">
        <v>362</v>
      </c>
      <c r="C22" s="34"/>
      <c r="D22" s="36" t="s">
        <v>365</v>
      </c>
      <c r="E22" s="35" t="s">
        <v>357</v>
      </c>
    </row>
    <row r="23" customFormat="false" ht="27.75" hidden="false" customHeight="true" outlineLevel="0" collapsed="false">
      <c r="A23" s="38" t="s">
        <v>366</v>
      </c>
      <c r="B23" s="39" t="s">
        <v>367</v>
      </c>
      <c r="C23" s="34"/>
      <c r="D23" s="36" t="s">
        <v>368</v>
      </c>
      <c r="E23" s="35" t="s">
        <v>357</v>
      </c>
    </row>
    <row r="24" customFormat="false" ht="27.75" hidden="false" customHeight="true" outlineLevel="0" collapsed="false">
      <c r="A24" s="38" t="s">
        <v>369</v>
      </c>
      <c r="B24" s="39" t="s">
        <v>367</v>
      </c>
      <c r="C24" s="34"/>
      <c r="D24" s="36" t="s">
        <v>370</v>
      </c>
      <c r="E24" s="35" t="s">
        <v>357</v>
      </c>
    </row>
    <row r="25" customFormat="false" ht="21.75" hidden="false" customHeight="true" outlineLevel="0" collapsed="false">
      <c r="A25" s="12" t="s">
        <v>371</v>
      </c>
      <c r="B25" s="12"/>
      <c r="C25" s="12"/>
      <c r="D25" s="12"/>
      <c r="E25" s="12"/>
    </row>
    <row r="26" customFormat="false" ht="18" hidden="false" customHeight="true" outlineLevel="0" collapsed="false">
      <c r="A26" s="37" t="s">
        <v>372</v>
      </c>
      <c r="B26" s="37" t="s">
        <v>373</v>
      </c>
      <c r="C26" s="37" t="s">
        <v>374</v>
      </c>
      <c r="D26" s="37" t="s">
        <v>375</v>
      </c>
      <c r="E26" s="37"/>
    </row>
    <row r="27" customFormat="false" ht="25.5" hidden="false" customHeight="true" outlineLevel="0" collapsed="false">
      <c r="A27" s="38" t="s">
        <v>376</v>
      </c>
      <c r="B27" s="34" t="s">
        <v>168</v>
      </c>
      <c r="C27" s="35" t="s">
        <v>333</v>
      </c>
      <c r="D27" s="36" t="s">
        <v>377</v>
      </c>
      <c r="E27" s="40"/>
    </row>
    <row r="28" customFormat="false" ht="25.5" hidden="false" customHeight="true" outlineLevel="0" collapsed="false">
      <c r="A28" s="38" t="s">
        <v>378</v>
      </c>
      <c r="B28" s="34" t="s">
        <v>168</v>
      </c>
      <c r="C28" s="35" t="s">
        <v>349</v>
      </c>
      <c r="D28" s="36" t="s">
        <v>379</v>
      </c>
      <c r="E28" s="40"/>
    </row>
    <row r="29" customFormat="false" ht="25.5" hidden="false" customHeight="true" outlineLevel="0" collapsed="false">
      <c r="A29" s="38" t="s">
        <v>380</v>
      </c>
      <c r="B29" s="34" t="s">
        <v>306</v>
      </c>
      <c r="C29" s="35" t="s">
        <v>362</v>
      </c>
      <c r="D29" s="36" t="s">
        <v>381</v>
      </c>
      <c r="E29" s="40"/>
    </row>
    <row r="30" customFormat="false" ht="25.5" hidden="false" customHeight="true" outlineLevel="0" collapsed="false">
      <c r="A30" s="38" t="s">
        <v>382</v>
      </c>
      <c r="B30" s="34" t="s">
        <v>306</v>
      </c>
      <c r="C30" s="35" t="s">
        <v>362</v>
      </c>
      <c r="D30" s="36" t="s">
        <v>383</v>
      </c>
      <c r="E30" s="40"/>
    </row>
    <row r="31" customFormat="false" ht="25.5" hidden="false" customHeight="true" outlineLevel="0" collapsed="false">
      <c r="A31" s="38" t="s">
        <v>384</v>
      </c>
      <c r="B31" s="34" t="s">
        <v>306</v>
      </c>
      <c r="C31" s="35" t="s">
        <v>362</v>
      </c>
      <c r="D31" s="36" t="s">
        <v>385</v>
      </c>
      <c r="E31" s="40"/>
    </row>
    <row r="32" customFormat="false" ht="25.5" hidden="false" customHeight="true" outlineLevel="0" collapsed="false">
      <c r="A32" s="38" t="s">
        <v>386</v>
      </c>
      <c r="B32" s="34" t="s">
        <v>387</v>
      </c>
      <c r="C32" s="35" t="s">
        <v>367</v>
      </c>
      <c r="D32" s="36" t="s">
        <v>388</v>
      </c>
      <c r="E32" s="40"/>
    </row>
    <row r="33" customFormat="false" ht="21.75" hidden="false" customHeight="true" outlineLevel="0" collapsed="false">
      <c r="A33" s="6" t="s">
        <v>389</v>
      </c>
      <c r="B33" s="6"/>
      <c r="C33" s="6"/>
      <c r="D33" s="6"/>
      <c r="E33" s="6"/>
    </row>
    <row r="34" customFormat="false" ht="18" hidden="false" customHeight="true" outlineLevel="0" collapsed="false">
      <c r="A34" s="37" t="s">
        <v>390</v>
      </c>
      <c r="B34" s="37" t="s">
        <v>391</v>
      </c>
      <c r="C34" s="37" t="s">
        <v>392</v>
      </c>
      <c r="D34" s="37"/>
      <c r="E34" s="37"/>
    </row>
    <row r="35" customFormat="false" ht="24" hidden="false" customHeight="true" outlineLevel="0" collapsed="false">
      <c r="A35" s="32" t="s">
        <v>393</v>
      </c>
      <c r="B35" s="33" t="s">
        <v>394</v>
      </c>
      <c r="C35" s="34"/>
      <c r="D35" s="35"/>
      <c r="E35" s="36"/>
    </row>
    <row r="36" customFormat="false" ht="24" hidden="false" customHeight="true" outlineLevel="0" collapsed="false">
      <c r="A36" s="32" t="s">
        <v>395</v>
      </c>
      <c r="B36" s="33" t="s">
        <v>394</v>
      </c>
      <c r="C36" s="34"/>
      <c r="D36" s="35"/>
      <c r="E36" s="36"/>
    </row>
    <row r="37" customFormat="false" ht="24" hidden="false" customHeight="true" outlineLevel="0" collapsed="false">
      <c r="A37" s="32" t="s">
        <v>396</v>
      </c>
      <c r="B37" s="33" t="s">
        <v>394</v>
      </c>
      <c r="C37" s="34"/>
      <c r="D37" s="35"/>
      <c r="E37" s="36"/>
    </row>
    <row r="38" customFormat="false" ht="24" hidden="false" customHeight="true" outlineLevel="0" collapsed="false">
      <c r="A38" s="32" t="s">
        <v>397</v>
      </c>
      <c r="B38" s="33" t="s">
        <v>394</v>
      </c>
      <c r="C38" s="34"/>
      <c r="D38" s="35"/>
      <c r="E38" s="36"/>
    </row>
    <row r="39" customFormat="false" ht="24" hidden="false" customHeight="true" outlineLevel="0" collapsed="false">
      <c r="A39" s="32" t="s">
        <v>398</v>
      </c>
      <c r="B39" s="33" t="s">
        <v>394</v>
      </c>
      <c r="C39" s="34"/>
      <c r="D39" s="35"/>
      <c r="E39" s="36"/>
    </row>
    <row r="40" customFormat="false" ht="24" hidden="false" customHeight="true" outlineLevel="0" collapsed="false">
      <c r="A40" s="32" t="s">
        <v>399</v>
      </c>
      <c r="B40" s="33" t="s">
        <v>394</v>
      </c>
      <c r="C40" s="34"/>
      <c r="D40" s="35"/>
      <c r="E40" s="36"/>
    </row>
    <row r="41" customFormat="false" ht="24" hidden="false" customHeight="true" outlineLevel="0" collapsed="false">
      <c r="A41" s="32" t="s">
        <v>400</v>
      </c>
      <c r="B41" s="33" t="s">
        <v>394</v>
      </c>
      <c r="C41" s="34"/>
      <c r="D41" s="35"/>
      <c r="E41" s="36"/>
    </row>
    <row r="42" customFormat="false" ht="21.75" hidden="false" customHeight="true" outlineLevel="0" collapsed="false">
      <c r="A42" s="13" t="s">
        <v>401</v>
      </c>
      <c r="B42" s="13"/>
      <c r="C42" s="13"/>
      <c r="D42" s="13"/>
      <c r="E42" s="13"/>
    </row>
    <row r="43" customFormat="false" ht="18" hidden="false" customHeight="true" outlineLevel="0" collapsed="false">
      <c r="A43" s="3" t="s">
        <v>402</v>
      </c>
      <c r="B43" s="41" t="s">
        <v>403</v>
      </c>
      <c r="C43" s="42" t="s">
        <v>404</v>
      </c>
      <c r="D43" s="41" t="s">
        <v>405</v>
      </c>
      <c r="E43" s="40"/>
    </row>
    <row r="44" customFormat="false" ht="18" hidden="false" customHeight="true" outlineLevel="0" collapsed="false">
      <c r="A44" s="43" t="s">
        <v>406</v>
      </c>
      <c r="B44" s="41" t="s">
        <v>403</v>
      </c>
      <c r="C44" s="42" t="s">
        <v>404</v>
      </c>
      <c r="D44" s="41" t="s">
        <v>405</v>
      </c>
      <c r="E44" s="40"/>
    </row>
    <row r="45" customFormat="false" ht="18" hidden="false" customHeight="true" outlineLevel="0" collapsed="false">
      <c r="A45" s="43" t="s">
        <v>407</v>
      </c>
      <c r="B45" s="41" t="s">
        <v>403</v>
      </c>
      <c r="C45" s="42" t="s">
        <v>404</v>
      </c>
      <c r="D45" s="41" t="s">
        <v>405</v>
      </c>
      <c r="E45" s="40"/>
    </row>
    <row r="46" customFormat="false" ht="13.5" hidden="false" customHeight="true" outlineLevel="0" collapsed="false">
      <c r="A46" s="20" t="s">
        <v>408</v>
      </c>
      <c r="B46" s="20"/>
      <c r="C46" s="20"/>
      <c r="D46" s="20"/>
      <c r="E46" s="20"/>
    </row>
  </sheetData>
  <mergeCells count="8">
    <mergeCell ref="A1:E1"/>
    <mergeCell ref="A2:E2"/>
    <mergeCell ref="A4:E4"/>
    <mergeCell ref="A13:E13"/>
    <mergeCell ref="A25:E25"/>
    <mergeCell ref="A33:E33"/>
    <mergeCell ref="A42:E42"/>
    <mergeCell ref="A46:E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A6E"/>
    <pageSetUpPr fitToPage="false"/>
  </sheetPr>
  <dimension ref="A1:E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42" hidden="false" customHeight="true" outlineLevel="0" collapsed="false">
      <c r="A1" s="1" t="s">
        <v>409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410</v>
      </c>
      <c r="B2" s="2"/>
      <c r="C2" s="2"/>
      <c r="D2" s="2"/>
      <c r="E2" s="2"/>
    </row>
    <row r="3" customFormat="false" ht="18" hidden="false" customHeight="true" outlineLevel="0" collapsed="false">
      <c r="A3" s="44" t="s">
        <v>411</v>
      </c>
    </row>
    <row r="4" customFormat="false" ht="13.5" hidden="false" customHeight="true" outlineLevel="0" collapsed="false">
      <c r="A4" s="45" t="s">
        <v>412</v>
      </c>
    </row>
    <row r="5" customFormat="false" ht="15" hidden="false" customHeight="true" outlineLevel="0" collapsed="false">
      <c r="A5" s="46" t="s">
        <v>413</v>
      </c>
    </row>
    <row r="6" customFormat="false" ht="15" hidden="false" customHeight="true" outlineLevel="0" collapsed="false">
      <c r="A6" s="46" t="s">
        <v>414</v>
      </c>
    </row>
    <row r="7" customFormat="false" ht="15" hidden="false" customHeight="true" outlineLevel="0" collapsed="false">
      <c r="A7" s="46" t="s">
        <v>415</v>
      </c>
    </row>
    <row r="8" customFormat="false" ht="15" hidden="false" customHeight="true" outlineLevel="0" collapsed="false">
      <c r="A8" s="47"/>
    </row>
    <row r="9" customFormat="false" ht="15" hidden="false" customHeight="true" outlineLevel="0" collapsed="false">
      <c r="A9" s="48" t="s">
        <v>416</v>
      </c>
    </row>
    <row r="10" customFormat="false" ht="15" hidden="false" customHeight="true" outlineLevel="0" collapsed="false">
      <c r="A10" s="46" t="s">
        <v>417</v>
      </c>
    </row>
    <row r="11" customFormat="false" ht="15" hidden="false" customHeight="true" outlineLevel="0" collapsed="false">
      <c r="A11" s="46" t="s">
        <v>418</v>
      </c>
    </row>
    <row r="12" customFormat="false" ht="15" hidden="false" customHeight="true" outlineLevel="0" collapsed="false">
      <c r="A12" s="46" t="s">
        <v>419</v>
      </c>
    </row>
    <row r="13" customFormat="false" ht="15" hidden="false" customHeight="true" outlineLevel="0" collapsed="false">
      <c r="A13" s="46" t="s">
        <v>420</v>
      </c>
    </row>
    <row r="14" customFormat="false" ht="15" hidden="false" customHeight="true" outlineLevel="0" collapsed="false">
      <c r="A14" s="46" t="s">
        <v>421</v>
      </c>
    </row>
    <row r="15" customFormat="false" ht="15" hidden="false" customHeight="true" outlineLevel="0" collapsed="false">
      <c r="A15" s="46" t="s">
        <v>422</v>
      </c>
    </row>
    <row r="16" customFormat="false" ht="15" hidden="false" customHeight="true" outlineLevel="0" collapsed="false">
      <c r="A16" s="47"/>
    </row>
    <row r="17" customFormat="false" ht="15" hidden="false" customHeight="true" outlineLevel="0" collapsed="false">
      <c r="A17" s="46" t="s">
        <v>423</v>
      </c>
    </row>
    <row r="18" customFormat="false" ht="15" hidden="false" customHeight="true" outlineLevel="0" collapsed="false">
      <c r="A18" s="46" t="s">
        <v>424</v>
      </c>
    </row>
    <row r="19" customFormat="false" ht="15" hidden="false" customHeight="true" outlineLevel="0" collapsed="false">
      <c r="A19" s="46" t="s">
        <v>425</v>
      </c>
    </row>
    <row r="20" customFormat="false" ht="15" hidden="false" customHeight="true" outlineLevel="0" collapsed="false">
      <c r="A20" s="46" t="s">
        <v>426</v>
      </c>
    </row>
    <row r="21" customFormat="false" ht="15" hidden="false" customHeight="true" outlineLevel="0" collapsed="false">
      <c r="A21" s="47"/>
    </row>
    <row r="22" customFormat="false" ht="15" hidden="false" customHeight="true" outlineLevel="0" collapsed="false">
      <c r="A22" s="48" t="s">
        <v>427</v>
      </c>
    </row>
    <row r="23" customFormat="false" ht="15" hidden="false" customHeight="true" outlineLevel="0" collapsed="false">
      <c r="A23" s="46" t="s">
        <v>428</v>
      </c>
    </row>
    <row r="24" customFormat="false" ht="15" hidden="false" customHeight="true" outlineLevel="0" collapsed="false">
      <c r="A24" s="46" t="s">
        <v>429</v>
      </c>
    </row>
    <row r="25" customFormat="false" ht="15" hidden="false" customHeight="true" outlineLevel="0" collapsed="false">
      <c r="A25" s="46" t="s">
        <v>430</v>
      </c>
    </row>
    <row r="26" customFormat="false" ht="15" hidden="false" customHeight="true" outlineLevel="0" collapsed="false">
      <c r="A26" s="46" t="s">
        <v>431</v>
      </c>
    </row>
    <row r="27" customFormat="false" ht="15" hidden="false" customHeight="true" outlineLevel="0" collapsed="false">
      <c r="A27" s="46" t="s">
        <v>432</v>
      </c>
    </row>
    <row r="28" customFormat="false" ht="15" hidden="false" customHeight="true" outlineLevel="0" collapsed="false">
      <c r="A28" s="46" t="s">
        <v>433</v>
      </c>
    </row>
    <row r="29" customFormat="false" ht="15" hidden="false" customHeight="true" outlineLevel="0" collapsed="false">
      <c r="A29" s="46" t="s">
        <v>434</v>
      </c>
    </row>
    <row r="30" customFormat="false" ht="15" hidden="false" customHeight="true" outlineLevel="0" collapsed="false">
      <c r="A30" s="46" t="s">
        <v>435</v>
      </c>
    </row>
    <row r="31" customFormat="false" ht="15" hidden="false" customHeight="true" outlineLevel="0" collapsed="false">
      <c r="A31" s="49" t="s">
        <v>436</v>
      </c>
    </row>
    <row r="32" customFormat="false" ht="15" hidden="false" customHeight="true" outlineLevel="0" collapsed="false">
      <c r="A32" s="47"/>
    </row>
    <row r="33" customFormat="false" ht="15" hidden="false" customHeight="true" outlineLevel="0" collapsed="false">
      <c r="A33" s="48" t="s">
        <v>437</v>
      </c>
    </row>
    <row r="34" customFormat="false" ht="15" hidden="false" customHeight="true" outlineLevel="0" collapsed="false">
      <c r="A34" s="46" t="s">
        <v>438</v>
      </c>
    </row>
    <row r="35" customFormat="false" ht="15" hidden="false" customHeight="true" outlineLevel="0" collapsed="false">
      <c r="A35" s="46" t="s">
        <v>439</v>
      </c>
    </row>
    <row r="36" customFormat="false" ht="15" hidden="false" customHeight="true" outlineLevel="0" collapsed="false">
      <c r="A36" s="46" t="s">
        <v>440</v>
      </c>
    </row>
    <row r="37" customFormat="false" ht="15" hidden="false" customHeight="true" outlineLevel="0" collapsed="false">
      <c r="A37" s="46" t="s">
        <v>441</v>
      </c>
    </row>
    <row r="38" customFormat="false" ht="15" hidden="false" customHeight="true" outlineLevel="0" collapsed="false">
      <c r="A38" s="46" t="s">
        <v>442</v>
      </c>
    </row>
    <row r="39" customFormat="false" ht="15" hidden="false" customHeight="true" outlineLevel="0" collapsed="false">
      <c r="A39" s="46" t="s">
        <v>443</v>
      </c>
    </row>
    <row r="40" customFormat="false" ht="15" hidden="false" customHeight="true" outlineLevel="0" collapsed="false">
      <c r="A40" s="46" t="s">
        <v>444</v>
      </c>
    </row>
    <row r="41" customFormat="false" ht="15" hidden="false" customHeight="true" outlineLevel="0" collapsed="false">
      <c r="A41" s="46" t="s">
        <v>445</v>
      </c>
    </row>
    <row r="42" customFormat="false" ht="15" hidden="false" customHeight="true" outlineLevel="0" collapsed="false">
      <c r="A42" s="47"/>
    </row>
    <row r="43" customFormat="false" ht="15" hidden="false" customHeight="true" outlineLevel="0" collapsed="false">
      <c r="A43" s="48" t="s">
        <v>446</v>
      </c>
    </row>
    <row r="44" customFormat="false" ht="15" hidden="false" customHeight="true" outlineLevel="0" collapsed="false">
      <c r="A44" s="46" t="s">
        <v>447</v>
      </c>
    </row>
    <row r="45" customFormat="false" ht="15" hidden="false" customHeight="true" outlineLevel="0" collapsed="false">
      <c r="A45" s="46" t="s">
        <v>448</v>
      </c>
    </row>
    <row r="46" customFormat="false" ht="15" hidden="false" customHeight="true" outlineLevel="0" collapsed="false">
      <c r="A46" s="46" t="s">
        <v>449</v>
      </c>
    </row>
    <row r="47" customFormat="false" ht="15" hidden="false" customHeight="true" outlineLevel="0" collapsed="false">
      <c r="A47" s="46" t="s">
        <v>450</v>
      </c>
    </row>
    <row r="48" customFormat="false" ht="15" hidden="false" customHeight="true" outlineLevel="0" collapsed="false">
      <c r="A48" s="47"/>
    </row>
    <row r="49" customFormat="false" ht="15" hidden="false" customHeight="true" outlineLevel="0" collapsed="false">
      <c r="A49" s="46" t="s">
        <v>451</v>
      </c>
    </row>
    <row r="50" customFormat="false" ht="15" hidden="false" customHeight="true" outlineLevel="0" collapsed="false">
      <c r="A50" s="46" t="s">
        <v>452</v>
      </c>
    </row>
    <row r="51" customFormat="false" ht="15" hidden="false" customHeight="true" outlineLevel="0" collapsed="false">
      <c r="A51" s="49" t="s">
        <v>453</v>
      </c>
    </row>
    <row r="52" customFormat="false" ht="15" hidden="false" customHeight="true" outlineLevel="0" collapsed="false">
      <c r="A52" s="47"/>
    </row>
    <row r="53" customFormat="false" ht="15" hidden="false" customHeight="true" outlineLevel="0" collapsed="false">
      <c r="A53" s="48" t="s">
        <v>454</v>
      </c>
    </row>
    <row r="54" customFormat="false" ht="15" hidden="false" customHeight="true" outlineLevel="0" collapsed="false">
      <c r="A54" s="46" t="s">
        <v>455</v>
      </c>
    </row>
    <row r="55" customFormat="false" ht="15" hidden="false" customHeight="true" outlineLevel="0" collapsed="false">
      <c r="A55" s="46" t="s">
        <v>456</v>
      </c>
    </row>
    <row r="56" customFormat="false" ht="15" hidden="false" customHeight="true" outlineLevel="0" collapsed="false">
      <c r="A56" s="46" t="s">
        <v>457</v>
      </c>
    </row>
    <row r="57" customFormat="false" ht="15" hidden="false" customHeight="true" outlineLevel="0" collapsed="false">
      <c r="A57" s="46" t="s">
        <v>458</v>
      </c>
    </row>
    <row r="58" customFormat="false" ht="15" hidden="false" customHeight="true" outlineLevel="0" collapsed="false">
      <c r="A58" s="46" t="s">
        <v>459</v>
      </c>
    </row>
    <row r="59" customFormat="false" ht="15" hidden="false" customHeight="true" outlineLevel="0" collapsed="false">
      <c r="A59" s="46" t="s">
        <v>460</v>
      </c>
    </row>
    <row r="60" customFormat="false" ht="15" hidden="false" customHeight="true" outlineLevel="0" collapsed="false">
      <c r="A60" s="46" t="s">
        <v>461</v>
      </c>
    </row>
    <row r="61" customFormat="false" ht="15" hidden="false" customHeight="true" outlineLevel="0" collapsed="false">
      <c r="A61" s="46" t="s">
        <v>462</v>
      </c>
    </row>
    <row r="62" customFormat="false" ht="15" hidden="false" customHeight="true" outlineLevel="0" collapsed="false">
      <c r="A62" s="46" t="s">
        <v>463</v>
      </c>
    </row>
    <row r="63" customFormat="false" ht="15" hidden="false" customHeight="true" outlineLevel="0" collapsed="false">
      <c r="A63" s="46" t="s">
        <v>464</v>
      </c>
    </row>
    <row r="64" customFormat="false" ht="15" hidden="false" customHeight="true" outlineLevel="0" collapsed="false">
      <c r="A64" s="46" t="s">
        <v>465</v>
      </c>
    </row>
    <row r="65" customFormat="false" ht="15" hidden="false" customHeight="true" outlineLevel="0" collapsed="false">
      <c r="A65" s="46" t="s">
        <v>466</v>
      </c>
    </row>
    <row r="66" customFormat="false" ht="15" hidden="false" customHeight="true" outlineLevel="0" collapsed="false">
      <c r="A66" s="46" t="s">
        <v>467</v>
      </c>
    </row>
    <row r="67" customFormat="false" ht="15" hidden="false" customHeight="true" outlineLevel="0" collapsed="false">
      <c r="A67" s="46" t="s">
        <v>468</v>
      </c>
    </row>
    <row r="68" customFormat="false" ht="15" hidden="false" customHeight="true" outlineLevel="0" collapsed="false">
      <c r="A68" s="46" t="s">
        <v>469</v>
      </c>
    </row>
    <row r="69" customFormat="false" ht="15" hidden="false" customHeight="true" outlineLevel="0" collapsed="false">
      <c r="A69" s="46" t="s">
        <v>470</v>
      </c>
    </row>
    <row r="70" customFormat="false" ht="15" hidden="false" customHeight="true" outlineLevel="0" collapsed="false">
      <c r="A70" s="46" t="s">
        <v>471</v>
      </c>
    </row>
    <row r="71" customFormat="false" ht="15" hidden="false" customHeight="true" outlineLevel="0" collapsed="false">
      <c r="A71" s="46" t="s">
        <v>472</v>
      </c>
    </row>
    <row r="72" customFormat="false" ht="15" hidden="false" customHeight="true" outlineLevel="0" collapsed="false">
      <c r="A72" s="46" t="s">
        <v>473</v>
      </c>
    </row>
    <row r="73" customFormat="false" ht="15" hidden="false" customHeight="true" outlineLevel="0" collapsed="false">
      <c r="A73" s="46" t="s">
        <v>474</v>
      </c>
    </row>
    <row r="74" customFormat="false" ht="15" hidden="false" customHeight="true" outlineLevel="0" collapsed="false">
      <c r="A74" s="46" t="s">
        <v>475</v>
      </c>
    </row>
    <row r="75" customFormat="false" ht="15" hidden="false" customHeight="true" outlineLevel="0" collapsed="false">
      <c r="A75" s="46" t="s">
        <v>476</v>
      </c>
    </row>
    <row r="76" customFormat="false" ht="15" hidden="false" customHeight="true" outlineLevel="0" collapsed="false">
      <c r="A76" s="46" t="s">
        <v>477</v>
      </c>
    </row>
    <row r="77" customFormat="false" ht="15" hidden="false" customHeight="true" outlineLevel="0" collapsed="false">
      <c r="A77" s="46" t="s">
        <v>478</v>
      </c>
    </row>
    <row r="78" customFormat="false" ht="15" hidden="false" customHeight="true" outlineLevel="0" collapsed="false">
      <c r="A78" s="46" t="s">
        <v>479</v>
      </c>
    </row>
    <row r="79" customFormat="false" ht="15" hidden="false" customHeight="true" outlineLevel="0" collapsed="false">
      <c r="A79" s="46" t="s">
        <v>480</v>
      </c>
    </row>
    <row r="80" customFormat="false" ht="15" hidden="false" customHeight="true" outlineLevel="0" collapsed="false">
      <c r="A80" s="46" t="s">
        <v>481</v>
      </c>
    </row>
    <row r="81" customFormat="false" ht="15" hidden="false" customHeight="true" outlineLevel="0" collapsed="false">
      <c r="A81" s="46" t="s">
        <v>482</v>
      </c>
    </row>
    <row r="82" customFormat="false" ht="15" hidden="false" customHeight="true" outlineLevel="0" collapsed="false">
      <c r="A82" s="46" t="s">
        <v>483</v>
      </c>
    </row>
    <row r="83" customFormat="false" ht="15" hidden="false" customHeight="true" outlineLevel="0" collapsed="false">
      <c r="A83" s="46" t="s">
        <v>484</v>
      </c>
    </row>
    <row r="84" customFormat="false" ht="15" hidden="false" customHeight="true" outlineLevel="0" collapsed="false">
      <c r="A84" s="46" t="s">
        <v>485</v>
      </c>
    </row>
    <row r="85" customFormat="false" ht="15" hidden="false" customHeight="true" outlineLevel="0" collapsed="false">
      <c r="A85" s="46" t="s">
        <v>486</v>
      </c>
    </row>
    <row r="86" customFormat="false" ht="15" hidden="false" customHeight="true" outlineLevel="0" collapsed="false">
      <c r="A86" s="46" t="s">
        <v>487</v>
      </c>
    </row>
    <row r="87" customFormat="false" ht="15" hidden="false" customHeight="true" outlineLevel="0" collapsed="false">
      <c r="A87" s="46" t="s">
        <v>488</v>
      </c>
    </row>
    <row r="88" customFormat="false" ht="15" hidden="false" customHeight="true" outlineLevel="0" collapsed="false">
      <c r="A88" s="46" t="s">
        <v>489</v>
      </c>
    </row>
    <row r="89" customFormat="false" ht="15" hidden="false" customHeight="true" outlineLevel="0" collapsed="false">
      <c r="A89" s="46" t="s">
        <v>490</v>
      </c>
    </row>
    <row r="90" customFormat="false" ht="15" hidden="false" customHeight="true" outlineLevel="0" collapsed="false">
      <c r="A90" s="46" t="s">
        <v>491</v>
      </c>
    </row>
    <row r="91" customFormat="false" ht="15" hidden="false" customHeight="true" outlineLevel="0" collapsed="false">
      <c r="A91" s="46" t="s">
        <v>492</v>
      </c>
    </row>
    <row r="92" customFormat="false" ht="15" hidden="false" customHeight="true" outlineLevel="0" collapsed="false">
      <c r="A92" s="46" t="s">
        <v>493</v>
      </c>
    </row>
    <row r="93" customFormat="false" ht="15" hidden="false" customHeight="false" outlineLevel="0" collapsed="false">
      <c r="A93" s="50" t="s">
        <v>494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2026-04-15T09:16:43Z</dcterms:created>
  <dc:creator>openpyxl</dc:creator>
  <dc:description/>
  <dc:language>en-US</dc:language>
  <cp:lastModifiedBy/>
  <dcterms:modified xsi:type="dcterms:W3CDTF">2026-04-15T09:16:43Z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