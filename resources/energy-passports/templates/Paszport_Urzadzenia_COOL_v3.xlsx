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KIETA_ETAP1" sheetId="1" state="visible" r:id="rId3"/>
    <sheet name="DANE_DTR_ETAP2" sheetId="2" state="visible" r:id="rId4"/>
    <sheet name="PASZPORT" sheetId="3" state="visible" r:id="rId5"/>
    <sheet name="SYSTEM_PROMP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<sst xmlns="http://schemas.openxmlformats.org/spreadsheetml/2006/main" count="520" uniqueCount="446">
  <si>
    <t xml:space="preserve">ENESA  ·  PASZPORT URZĄDZENIA CHŁODNICZEGO  ·  A-EnMS-COOL-01  ·  ANKIETA ETAP 1</t>
  </si>
  <si>
    <t xml:space="preserve">Wypełnia: Pracownik UR  ·  Pola ŻÓŁTE = wpisz  ·  Chiller / Split / VRF / Agregat / Wieża chłodnicza</t>
  </si>
  <si>
    <t xml:space="preserve">KOD QR / ID:</t>
  </si>
  <si>
    <t xml:space="preserve">Data Etap 1:</t>
  </si>
  <si>
    <t xml:space="preserve">Pracownik UR:</t>
  </si>
  <si>
    <t xml:space="preserve">Nr</t>
  </si>
  <si>
    <t xml:space="preserve">Pytanie / Obserwacja</t>
  </si>
  <si>
    <t xml:space="preserve">Odpowiedź (wpisz)</t>
  </si>
  <si>
    <t xml:space="preserve">Jedn.</t>
  </si>
  <si>
    <t xml:space="preserve">Wskazówka</t>
  </si>
  <si>
    <t xml:space="preserve">  PYTANIE ZEROWE — KLASYFIKACJA ŚCIEŻKI</t>
  </si>
  <si>
    <t xml:space="preserve">  Podejdź do urządzenia. Jaki to typ urządzenia chłodniczego?
  A) CHILLER (agregat wody lodowej) — duże urządzenie z wymiennikiem wody
  B) KLIMATYZATOR SPLIT / MULTI-SPLIT — jednostka zewnętrzna + wewnętrzna
  C) SYSTEM VRF/VRV — jedna duża jednostka zewnętrzna + wiele wewnętrznych
  D) AGREGAT CHŁODNICZY (do procesów) — chłodzi wodę lub glikol dla technologii
  E) WIEŻA CHŁODNICZA — urządzenie do chłodzenia wody (skraplacze lub procesy)
  F) KLIMAKONWEKTOR / FCU — jednostka wewnętrzna zasilana z chillerów
  G) Nie jestem pewien — opiszę co widzę</t>
  </si>
  <si>
    <t xml:space="preserve">  BLOK A — IDENTYFIKACJA URZĄDZENIA (wszystkie ścieżki)</t>
  </si>
  <si>
    <t xml:space="preserve">A-01</t>
  </si>
  <si>
    <t xml:space="preserve">Typ urządzenia (przepisz odpowiedź z P-00)</t>
  </si>
  <si>
    <t xml:space="preserve">Chiller / Split / VRF / Agregat procesowy / Wieża chłodnicza / FCU</t>
  </si>
  <si>
    <t xml:space="preserve">A-02</t>
  </si>
  <si>
    <t xml:space="preserve">Producent (z tabliczki znamionowej)</t>
  </si>
  <si>
    <t xml:space="preserve">np. Trane, York, Carrier, Daikin, Mitsubishi, Lennox, Stulz, Aermec, Copeland</t>
  </si>
  <si>
    <t xml:space="preserve">A-03</t>
  </si>
  <si>
    <t xml:space="preserve">Model / typ fabryczny (z tabliczki)</t>
  </si>
  <si>
    <t xml:space="preserve">Pełne oznaczenie — np. RTHA 250, YVAA 170, EWAD 140</t>
  </si>
  <si>
    <t xml:space="preserve">A-04</t>
  </si>
  <si>
    <t xml:space="preserve">Rok produkcji</t>
  </si>
  <si>
    <t xml:space="preserve">rok</t>
  </si>
  <si>
    <t xml:space="preserve">Z tabliczki lub numeru seryjnego</t>
  </si>
  <si>
    <t xml:space="preserve">A-05</t>
  </si>
  <si>
    <t xml:space="preserve">Numer seryjny</t>
  </si>
  <si>
    <t xml:space="preserve">Z tabliczki — potrzebny do karty F-gaz w BDO</t>
  </si>
  <si>
    <t xml:space="preserve">A-06</t>
  </si>
  <si>
    <t xml:space="preserve">Lokalizacja urządzenia (budynek, dach, teren)</t>
  </si>
  <si>
    <t xml:space="preserve">np. Dach bud. A / Maszynownia chłodzenia / Teren zewnętrzny przy ścianie wschodniej</t>
  </si>
  <si>
    <t xml:space="preserve">A-07</t>
  </si>
  <si>
    <t xml:space="preserve">Co chłodzi to urządzenie? Opisz odbiory.</t>
  </si>
  <si>
    <t xml:space="preserve">np. Hala produkcyjna linia 1-3 / Serwerownia / Proces technologiczny — linia malarska</t>
  </si>
  <si>
    <t xml:space="preserve">A-08</t>
  </si>
  <si>
    <t xml:space="preserve">Czy jest dostępna dokumentacja techniczna (DTR / IOM)?</t>
  </si>
  <si>
    <t xml:space="preserve">TAK — w biurze / TAK — na miejscu / NIE / Nie wiem</t>
  </si>
  <si>
    <t xml:space="preserve">  BLOK B — CZYNNIK CHŁODNICZY (F-GAZ)  ★★ KLUCZOWE DLA COMPLIANCE</t>
  </si>
  <si>
    <t xml:space="preserve">  ! UWAGA F-gaz: Rozporządzenie UE 517/2014 — każde urządzenie z F-gazem musi mieć KARTĘ URZĄDZENIA w rejestrze BDO (bdo.mos.gov.pl). Brak karty = niezgodność prawna. Kontrole szczelności: co 12 mies. (&gt;5 t CO₂eq), co 6 mies. (&gt;50 t CO₂eq), co 3 mies. (&gt;500 t CO₂eq).</t>
  </si>
  <si>
    <t xml:space="preserve">B-01</t>
  </si>
  <si>
    <t xml:space="preserve">Typ czynnika chłodniczego (z tabliczki lub naklejki na urządzeniu)</t>
  </si>
  <si>
    <t xml:space="preserve">R410A (GWP 2088) / R32 (GWP 675) / R134a (GWP 1430) / R407C (GWP 1774)
R22 (WYCOFANY — nielegalny w nowych urządzeniach!) / R290 propan / R744 CO₂
Jeśli brak naklejki — wpisz 'Nieznany — sprawdzić w karcie serwisowej'</t>
  </si>
  <si>
    <t xml:space="preserve">B-02</t>
  </si>
  <si>
    <t xml:space="preserve">Masa napełnienia czynnika chłodniczego [kg]</t>
  </si>
  <si>
    <t xml:space="preserve">kg</t>
  </si>
  <si>
    <t xml:space="preserve">Z tabliczki znamionowej lub karty urządzenia. KLUCZOWE do obliczenia ekwiwalentu CO₂eq</t>
  </si>
  <si>
    <t xml:space="preserve">B-03</t>
  </si>
  <si>
    <t xml:space="preserve">Czy urządzenie posiada Kartę Urządzenia F-gaz w rejestrze BDO?</t>
  </si>
  <si>
    <t xml:space="preserve">TAK — numer karty z BDO (bdo.mos.gov.pl) / NIE — NIEZGODNOŚĆ PRAWNA
Karta BDO wymagana wg Rozp. UE 517/2014 art. 6 dla wszystkich urządzeń z F-gazem</t>
  </si>
  <si>
    <t xml:space="preserve">B-04</t>
  </si>
  <si>
    <t xml:space="preserve">Numer karty urządzenia w rejestrze BDO (jeśli jest)</t>
  </si>
  <si>
    <t xml:space="preserve">Wpisz numer karty z systemu BDO. Weryfikacja: bdo.mos.gov.pl</t>
  </si>
  <si>
    <t xml:space="preserve">B-05</t>
  </si>
  <si>
    <t xml:space="preserve">Data ostatniej kontroli szczelności F-gaz</t>
  </si>
  <si>
    <t xml:space="preserve">DD.MM.RRRR — z karty urządzenia BDO lub protokołu serwisowego
Brak kontroli = NIEZGODNOŚĆ art. 4 Rozp. EU 517/2014</t>
  </si>
  <si>
    <t xml:space="preserve">B-06</t>
  </si>
  <si>
    <t xml:space="preserve">Wynik ostatniej kontroli szczelności</t>
  </si>
  <si>
    <t xml:space="preserve">BRAK WYCIEKÓW / WYKRYTO WYCIEK — opisz ile kg uzupełniono / Nie przeprowadzono</t>
  </si>
  <si>
    <t xml:space="preserve">B-07</t>
  </si>
  <si>
    <t xml:space="preserve">Czy urządzenie traci czynnik (wymaga częstego uzupełniania)?</t>
  </si>
  <si>
    <t xml:space="preserve">NIE / TAK — podaj ile kg/rok uzupełniono w ostatnich 2 latach
Wyciek czynnika = strata energii + kara + obowiązkowa naprawa przed uzupełnieniem</t>
  </si>
  <si>
    <t xml:space="preserve">  BLOK C — PARAMETRY Z TABLICZKI ZNAMIONOWEJ  ★ PRZEPISZ DOKŁADNIE</t>
  </si>
  <si>
    <t xml:space="preserve">  ★ Tabliczka znamionowa = metalowa płytka lub naklejka na obudowie. Dane tu są podstawą do obliczenia EER i EnPI chłodzenia.</t>
  </si>
  <si>
    <t xml:space="preserve">C-01</t>
  </si>
  <si>
    <t xml:space="preserve">Moc chłodnicza nominalna Q_c [kW]</t>
  </si>
  <si>
    <t xml:space="preserve">kW</t>
  </si>
  <si>
    <t xml:space="preserve">★ KLUCZOWE — moc chłodnicza przy warunkach nominalnych (35°C zewn. / 7°C woda)
Oznaczenia: Q_c / Cooling capacity / Kälteleistung / kW</t>
  </si>
  <si>
    <t xml:space="preserve">C-02</t>
  </si>
  <si>
    <t xml:space="preserve">Moc elektryczna pobierana P_el [kW]</t>
  </si>
  <si>
    <t xml:space="preserve">★ KLUCZOWE — pobór mocy elektrycznej przy nominalnych warunkach
Oznaczenia: P_el / Prated / Input power / Watt</t>
  </si>
  <si>
    <t xml:space="preserve">C-03</t>
  </si>
  <si>
    <t xml:space="preserve">EER nominalny (podany na tabliczce lub w DTR)</t>
  </si>
  <si>
    <t xml:space="preserve">Energy Efficiency Ratio = Q_c / P_el. Jeśli nie ma na tabliczce — Agent obliczy
Benchmark: EER &lt;2.5 zły / 2.5-3.5 przeciętny / 3.5-5.0 dobry / &gt;5.0 bardzo dobry</t>
  </si>
  <si>
    <t xml:space="preserve">C-04</t>
  </si>
  <si>
    <t xml:space="preserve">SEER (Seasonal EER z etykiety energetycznej EU)</t>
  </si>
  <si>
    <t xml:space="preserve">Seasonal EER — z etykiety energetycznej (A+++ do D). Tylko nowe urządzenia od 2021
Wyższy SEER = niższe koszty energii przez cały rok</t>
  </si>
  <si>
    <t xml:space="preserve">C-05</t>
  </si>
  <si>
    <t xml:space="preserve">Klasa energetyczna wg EU Ecodesign (etykieta)</t>
  </si>
  <si>
    <t xml:space="preserve">A+++ / A++ / A+ / A / B / C / D — z naklejki energetycznej na urządzeniu
Rozp. EU 2016/2281 — od 2021 r. wymagane dla nowych urządzeń</t>
  </si>
  <si>
    <t xml:space="preserve">C-06</t>
  </si>
  <si>
    <t xml:space="preserve">Temperatura wody chłodzonej (zasilanie / powrót) [°C]</t>
  </si>
  <si>
    <t xml:space="preserve">°C/°C</t>
  </si>
  <si>
    <t xml:space="preserve">np. 7°C/12°C (standardowe) lub 6°C/11°C (precyzyjne) lub 15°C/20°C (free cooling)
Dla chłodnic powietrznych — temperatura nawiewu</t>
  </si>
  <si>
    <t xml:space="preserve">C-07</t>
  </si>
  <si>
    <t xml:space="preserve">Typ skraplacza (po stronie ciepłej)</t>
  </si>
  <si>
    <t xml:space="preserve">Powietrzny (air-cooled) — wentylatory / Wodny (water-cooled) — wieża chłodnicza lub płyta</t>
  </si>
  <si>
    <t xml:space="preserve">C-08</t>
  </si>
  <si>
    <t xml:space="preserve">Moc grzewcza (jeśli pompa ciepła) Q_h [kW]</t>
  </si>
  <si>
    <t xml:space="preserve">Dla urządzeń pracujących w trybie grzania (pompa ciepła odwracalna)
Jeśli tylko chłodzenie — wpisz 'nie dotyczy'</t>
  </si>
  <si>
    <t xml:space="preserve">C-09</t>
  </si>
  <si>
    <t xml:space="preserve">COP grzewczy (jeśli pompa ciepła)</t>
  </si>
  <si>
    <t xml:space="preserve">COP = Q_h / P_el. Dla pomp ciepła — analogicznie do HTG</t>
  </si>
  <si>
    <t xml:space="preserve">  BLOK D — PARAMETRY EKSPLOATACYJNE  (ze sterownika i mierników)</t>
  </si>
  <si>
    <t xml:space="preserve">D-01</t>
  </si>
  <si>
    <t xml:space="preserve">Aktualna temperatura wody chłodzonej na zasilaniu (odczyt)</t>
  </si>
  <si>
    <t xml:space="preserve">°C</t>
  </si>
  <si>
    <t xml:space="preserve">Temperatura wody wychodzacej do instalacji w tej chwili</t>
  </si>
  <si>
    <t xml:space="preserve">D-02</t>
  </si>
  <si>
    <t xml:space="preserve">Aktualna temperatura wody chłodzonej na powrocie (odczyt)</t>
  </si>
  <si>
    <t xml:space="preserve">Różnica zasilanie-powrót = ΔT = wskaźnik obciążenia chillera</t>
  </si>
  <si>
    <t xml:space="preserve">D-03</t>
  </si>
  <si>
    <t xml:space="preserve">Aktualne obciążenie chillera (% mocy)</t>
  </si>
  <si>
    <t xml:space="preserve">% </t>
  </si>
  <si>
    <t xml:space="preserve">Z wyświetlacza sterownika — np. 65%. Im bliżej 100% tym wyższa sprawność</t>
  </si>
  <si>
    <t xml:space="preserve">D-04</t>
  </si>
  <si>
    <t xml:space="preserve">Czy jest licznik energii elektrycznej chillera / agregatu?</t>
  </si>
  <si>
    <t xml:space="preserve">TAK — podaj odczyt za 12 mies. [kWh/rok] / NIE — wentylacja jest w ogólnym liczniku</t>
  </si>
  <si>
    <t xml:space="preserve">D-05</t>
  </si>
  <si>
    <t xml:space="preserve">Zużycie energii elektrycznej za ostatnie 12 miesięcy (z licznika)</t>
  </si>
  <si>
    <t xml:space="preserve">kWh/rok</t>
  </si>
  <si>
    <t xml:space="preserve">Jeśli jest licznik. To jest E_el do obliczenia EnPI</t>
  </si>
  <si>
    <t xml:space="preserve">D-06</t>
  </si>
  <si>
    <t xml:space="preserve">Roczna produkcja chłodu (z ciepłomierza chłodniczego) [MWh/rok]</t>
  </si>
  <si>
    <t xml:space="preserve">MWh/rok</t>
  </si>
  <si>
    <t xml:space="preserve">Jeśli jest ciepłomierz chłodniczy. Przelicznik: 1 GJ = 0.278 MWh</t>
  </si>
  <si>
    <t xml:space="preserve">D-07</t>
  </si>
  <si>
    <t xml:space="preserve">Godziny pracy sprężarki (compressor hours) z licznika [h/rok]</t>
  </si>
  <si>
    <t xml:space="preserve">h/rok</t>
  </si>
  <si>
    <t xml:space="preserve">Z panelu sterownika — godziny pracy sprężarki. Analogia do motogodzin sprężarki CA</t>
  </si>
  <si>
    <t xml:space="preserve">D-08</t>
  </si>
  <si>
    <t xml:space="preserve">Nastawa temperatury wody chłodzonej (set-point) [°C]</t>
  </si>
  <si>
    <t xml:space="preserve">Temperatura do której chiller stara się schłodzić wodę</t>
  </si>
  <si>
    <t xml:space="preserve">D-09</t>
  </si>
  <si>
    <t xml:space="preserve">Czy jest sterownik umożliwiający regulację temperatury wg pogody?</t>
  </si>
  <si>
    <t xml:space="preserve">TAK (free cooling / adiabatyczny / weather-dependent setpoint) / NIE
Podwyższenie set-pointu o 1°C latem = ~3% oszczędności energii</t>
  </si>
  <si>
    <t xml:space="preserve">D-10</t>
  </si>
  <si>
    <t xml:space="preserve">Czy system ma free cooling (chłodzenie bez sprężarki)?</t>
  </si>
  <si>
    <t xml:space="preserve">TAK — w jakich warunkach (T zewn. &lt; X°C) / NIE
Free cooling = do 50% energii zaoszczędzone w sezonie przejściowym i zimie</t>
  </si>
  <si>
    <t xml:space="preserve">  BLOK E — STAN TECHNICZNY (ocena wzrokowa)</t>
  </si>
  <si>
    <t xml:space="preserve">E-01</t>
  </si>
  <si>
    <t xml:space="preserve">Ogólna ocena stanu technicznego urządzenia (1-5)</t>
  </si>
  <si>
    <t xml:space="preserve">1=bardzo zły / 3=średni / 5=jak nowy</t>
  </si>
  <si>
    <t xml:space="preserve">E-02</t>
  </si>
  <si>
    <t xml:space="preserve">Stan skraplacza (żebrowania, wentylatory, czystość)</t>
  </si>
  <si>
    <t xml:space="preserve">Czysty i sprawny / Brudne żebrowania (kurz, zabrudzenie) / Uszkodzone wentylatory
Brudny skraplacz = temperatura kondensacji wyższa = EER niższy o 5-15%</t>
  </si>
  <si>
    <t xml:space="preserve">E-03</t>
  </si>
  <si>
    <t xml:space="preserve">Czy widoczne są lody/szronienie na wymienniku parowacza?</t>
  </si>
  <si>
    <t xml:space="preserve">NIE (normalnie) / TAK — lody = problem z odmrażaniem lub niedobór czynnika
Szronienie przy evaporatorze powietrznym = normalne / przy wodnym = awaria</t>
  </si>
  <si>
    <t xml:space="preserve">E-04</t>
  </si>
  <si>
    <t xml:space="preserve">Stan izolacji rur (instalacji wody lodowej)</t>
  </si>
  <si>
    <t xml:space="preserve">Dobra (cała izolacja bez uszkodzeń) / Częściowa / Zła / Brak izolacji
Niezaizolowane rury wody lodowej = kondensacja + zyski ciepła + straty energii</t>
  </si>
  <si>
    <t xml:space="preserve">E-05</t>
  </si>
  <si>
    <t xml:space="preserve">Czy pracują wszystkie wentylatory skraplacza?</t>
  </si>
  <si>
    <t xml:space="preserve">TAK — wszystkie / NIE — ile nie pracuje (poda usterki). Brakujący wentylator = awaria</t>
  </si>
  <si>
    <t xml:space="preserve">E-06</t>
  </si>
  <si>
    <t xml:space="preserve">Kiedy był ostatni przegląd serwisowy?</t>
  </si>
  <si>
    <t xml:space="preserve">Data DD.MM.RRRR lub 'nie wiem'. Roczny przegląd wymagany dla urządzeń z F-gazem</t>
  </si>
  <si>
    <t xml:space="preserve">E-07</t>
  </si>
  <si>
    <t xml:space="preserve">Czy aktywne alarmy na sterowniku chillera?</t>
  </si>
  <si>
    <t xml:space="preserve">NIE / TAK — przepisz kod alarmu z wyświetlacza</t>
  </si>
  <si>
    <t xml:space="preserve">  BLOK Z — COMPLIANCE: F-GAZ (UE 517/2014) + USTAWA CHAR. ENERG. + ECODESIGN  ★ NIEZGODNOŚCI</t>
  </si>
  <si>
    <t xml:space="preserve">COMPLIANCE CHŁODZENIE — 3 REŻIMY PRAWNE:
1) Ustawa 29.08.2014 o char. energet. budynków — kontrola co 5 lat dla systemów klimatyzacji/chłodzenia &gt;70 kW mocy chłodniczej
2) Rozporządzenie UE 517/2014 (F-gaz) — karta urządzenia, kontrole szczelności, rejestr SZWO/F-gaz (BDO)
3) Rozporządzenie UE 2016/2281 (Ecodesign) — minimalne EER/SEER dla urządzeń od 2021 r.</t>
  </si>
  <si>
    <t xml:space="preserve">Z-01</t>
  </si>
  <si>
    <t xml:space="preserve">Czy dla tego urządzenia przeprowadzono kontrolę wg Ustawy o char. energet. budynków?</t>
  </si>
  <si>
    <t xml:space="preserve">Dotyczy urządzeń klimatyzacji/chłodzenia &gt; 70 kW mocy chłodniczej
TAK (data + nr protokołu e-CR) / NIE — NIEZGODNOŚĆ / Nie dotyczy (&lt;70 kW)</t>
  </si>
  <si>
    <t xml:space="preserve">Z-02</t>
  </si>
  <si>
    <t xml:space="preserve">Data ostatniej kontroli wg ustawy o char. energet. (klimatyzacja &gt;70 kW)</t>
  </si>
  <si>
    <t xml:space="preserve">DD.MM.RRRR — z protokołu z Centralnego Rejestru e-CR
Termin: co 5 lat dla systemów klimatyzacji/chłodzenia &gt;70 kW mocy chłodniczej</t>
  </si>
  <si>
    <t xml:space="preserve">Z-03</t>
  </si>
  <si>
    <t xml:space="preserve">Numer protokołu z Centralnego Rejestru charakterystyki energetycznej (e-CR)</t>
  </si>
  <si>
    <t xml:space="preserve">Format: np. PO/2023/001234. Weryfikacja: rejestry.seq.gov.pl/seep
Brak wpisu = NIEZGODNOŚĆ — protokół papierowy bez e-CR jest nieważny od 28.04.2023</t>
  </si>
  <si>
    <t xml:space="preserve">Z-04</t>
  </si>
  <si>
    <t xml:space="preserve">Czy karta urządzenia F-gaz jest w rejestrze BDO (bdo.mos.gov.pl)?</t>
  </si>
  <si>
    <t xml:space="preserve">TAK — numer karty BDO / NIE — NIEZGODNOŚĆ Rozp. UE 517/2014 art. 6
Dotyczy każdego urządzenia z czynnikiem F-gaz (HFC/HCFC)</t>
  </si>
  <si>
    <t xml:space="preserve">Z-05</t>
  </si>
  <si>
    <t xml:space="preserve">Wymagana częstotliwość kontroli szczelności F-gaz</t>
  </si>
  <si>
    <t xml:space="preserve">Oblicz: masa [kg] × GWP / 1000 = ekwiwalent CO₂eq [t]
5-50 t CO₂eq → co 12 miesięcy · 50-500 t → co 6 miesięcy · &gt;500 t → co 3 miesiące</t>
  </si>
  <si>
    <t xml:space="preserve">Z-06</t>
  </si>
  <si>
    <t xml:space="preserve">Czy kontrole szczelności F-gaz są wykonywane zgodnie z wymaganą częstotliwością?</t>
  </si>
  <si>
    <t xml:space="preserve">TAK / NIE — NIEZGODNOŚĆ art. 4 Rozp. UE 517/2014
Kara: do 30 000 zł (Ustawa o substancjach zubożających warstwę ozonową)</t>
  </si>
  <si>
    <t xml:space="preserve">Z-07</t>
  </si>
  <si>
    <t xml:space="preserve">Czy urządzenie spełnia minimalne wymagania EER wg Rozp. EU 2016/2281?</t>
  </si>
  <si>
    <t xml:space="preserve">Sprawdź jeśli urządzenie jest nowe (po 2021). Minimalne EER dla chillerów:
Air-cooled &gt;100kW: EER min 2.60 · Water-cooled &gt;400kW: EER min 5.00
Nie dotyczy urządzeń zainstalowanych przed 2021 r.</t>
  </si>
  <si>
    <t xml:space="preserve">Z-08</t>
  </si>
  <si>
    <t xml:space="preserve">STWIERDZONE NIEZGODNOŚCI (wpisz numery: Z-01, Z-03, Z-04, Z-06...)</t>
  </si>
  <si>
    <t xml:space="preserve">Lista niezgodności → wpisz do Rejestru Wymagań Prawnych Z-ZSZ-REG-01
BRAK = wszystkie wymagania spełnione</t>
  </si>
  <si>
    <t xml:space="preserve">  ENESA  ·  A-EnMS-COOL-01  ·  ANKIETA ETAP 1  ·  v3.0  ·  F-gaz UE 517/2014 · Ustawa char.energ. 29.08.2014 · Ecodesign UE 2016/2281</t>
  </si>
  <si>
    <t xml:space="preserve">ENESA  ·  PASZPORT URZĄDZENIA CHŁODNICZEGO  ·  A-EnMS-COOL-01  ·  ETAP 2 — DTR</t>
  </si>
  <si>
    <t xml:space="preserve">Wypełnia: Energy Manager  ·  Pola NIEBIESKIE = wpisz  ·  Pola SZARE = formuły Excel</t>
  </si>
  <si>
    <t xml:space="preserve">Parametr (z DTR)</t>
  </si>
  <si>
    <t xml:space="preserve">Wartość</t>
  </si>
  <si>
    <t xml:space="preserve">Norma / Źródło</t>
  </si>
  <si>
    <t xml:space="preserve">Wskazówka / Wzór</t>
  </si>
  <si>
    <t xml:space="preserve">  SEKCJA 1 — DANE TECHNICZNE Z DTR</t>
  </si>
  <si>
    <t xml:space="preserve">Typ i technologia urządzenia</t>
  </si>
  <si>
    <t xml:space="preserve">Etap1 P-00/A-01</t>
  </si>
  <si>
    <t xml:space="preserve">Chiller sprężarkowy / Absorpcyjny / VRF / Split / Agregat procesowy</t>
  </si>
  <si>
    <t xml:space="preserve">Producent i model</t>
  </si>
  <si>
    <t xml:space="preserve">Etap1 A-02/A-03</t>
  </si>
  <si>
    <t xml:space="preserve">Przepisz z Etapu 1</t>
  </si>
  <si>
    <t xml:space="preserve">Etap1 A-04</t>
  </si>
  <si>
    <t xml:space="preserve">Typ czynnika chłodniczego</t>
  </si>
  <si>
    <t xml:space="preserve">Etap1 B-01 + DTR</t>
  </si>
  <si>
    <t xml:space="preserve">R410A / R32 / R134a / R407C / R290 / R744</t>
  </si>
  <si>
    <t xml:space="preserve">Masa napełnienia czynnika [kg]</t>
  </si>
  <si>
    <t xml:space="preserve">Etap1 B-02 + DTR</t>
  </si>
  <si>
    <t xml:space="preserve">Z tabliczki lub DTR sekcja czynnik chłodniczy</t>
  </si>
  <si>
    <t xml:space="preserve">GWP czynnika (Global Warming Potential)</t>
  </si>
  <si>
    <t xml:space="preserve">Rozp. UE 517/2014 Zał. I</t>
  </si>
  <si>
    <t xml:space="preserve">R410A=2088 · R32=675 · R134a=1430 · R407C=1774 · R290=3 · R744(CO₂)=1</t>
  </si>
  <si>
    <t xml:space="preserve">Ekwiwalent CO₂eq [t CO₂eq]</t>
  </si>
  <si>
    <t xml:space="preserve">OBLICZONA · F-gaz</t>
  </si>
  <si>
    <t xml:space="preserve"> = masa_kg × GWP / 1000. Decyduje o częstotliwości kontroli szczelności</t>
  </si>
  <si>
    <t xml:space="preserve">DTR / tabliczka</t>
  </si>
  <si>
    <t xml:space="preserve">Etap1 C-01</t>
  </si>
  <si>
    <t xml:space="preserve">Etap1 C-02</t>
  </si>
  <si>
    <t xml:space="preserve">EER nominalny (deklarowany przez producenta)</t>
  </si>
  <si>
    <t xml:space="preserve">DTR / PN-EN 14511</t>
  </si>
  <si>
    <t xml:space="preserve">Z DTR lub z Etap1 C-03. Jeśli brak — obliczone poniżej</t>
  </si>
  <si>
    <t xml:space="preserve">SEER (z karty produktu / etykiety EU)</t>
  </si>
  <si>
    <t xml:space="preserve">EN 14825 / Rozp. EU 2016/2281</t>
  </si>
  <si>
    <t xml:space="preserve">Etap1 C-04. Tylko nowe urządzenia od 2021. Wyższy = lepsza sprawność sezonowa</t>
  </si>
  <si>
    <t xml:space="preserve">Klasa energetyczna EU</t>
  </si>
  <si>
    <t xml:space="preserve">Rozp. EU 2016/2281</t>
  </si>
  <si>
    <t xml:space="preserve">Etap1 C-05: A+++ do D</t>
  </si>
  <si>
    <t xml:space="preserve">Temperatura wody chłodzonej (zasilanie/powrót) [°C]</t>
  </si>
  <si>
    <t xml:space="preserve">DTR / projekt</t>
  </si>
  <si>
    <t xml:space="preserve">np. 7/12°C (standardowe) lub 6/11°C (precyzyjne) lub 15/20°C (comfort/free)</t>
  </si>
  <si>
    <t xml:space="preserve">Typ skraplacza</t>
  </si>
  <si>
    <t xml:space="preserve">DTR</t>
  </si>
  <si>
    <t xml:space="preserve">Powietrzny (air-cooled) / Wodny (water-cooled)</t>
  </si>
  <si>
    <t xml:space="preserve">Moc grzewcza Q_h (jeśli pompa ciepła) [kW]</t>
  </si>
  <si>
    <t xml:space="preserve">Dla urządzeń reversible</t>
  </si>
  <si>
    <t xml:space="preserve">Dla trybu grzewczego</t>
  </si>
  <si>
    <t xml:space="preserve">  SEKCJA 2 — DANE EKSPLOATACYJNE I OBLICZENIA EnPI</t>
  </si>
  <si>
    <t xml:space="preserve">Moc chłodnicza Q_c [kW] — do obliczeń</t>
  </si>
  <si>
    <t xml:space="preserve">DTR Sek.1</t>
  </si>
  <si>
    <t xml:space="preserve">Przepisz z Sekcji 1 lub =B(wiersz Q_c)</t>
  </si>
  <si>
    <t xml:space="preserve">Moc elektryczna P_el [kW] — do obliczeń</t>
  </si>
  <si>
    <t xml:space="preserve">Godziny pracy sprężarki [h/rok]</t>
  </si>
  <si>
    <t xml:space="preserve">Etap1 D-07</t>
  </si>
  <si>
    <t xml:space="preserve">Z licznika motogodzin sterownika. Jeśli brak — szacuj z harmonogramu</t>
  </si>
  <si>
    <t xml:space="preserve">Średnie obciążenie chillera [%]</t>
  </si>
  <si>
    <t xml:space="preserve">Eksploatacja</t>
  </si>
  <si>
    <t xml:space="preserve">Typowo 40-70% — rzadko pracuje na 100%. Wpływa na sprawność (SEER vs EER)</t>
  </si>
  <si>
    <t xml:space="preserve">E_el — zużycie energii elektrycznej [kWh/rok]</t>
  </si>
  <si>
    <t xml:space="preserve">Etap1 D-05</t>
  </si>
  <si>
    <t xml:space="preserve">Z licznika (D-05) lub oblicz: P_el × obciążenie/100 × h_pracy</t>
  </si>
  <si>
    <t xml:space="preserve">Q_chłód_licznik — produkcja chłodu [kWh/rok]</t>
  </si>
  <si>
    <t xml:space="preserve">Etap1 D-06</t>
  </si>
  <si>
    <t xml:space="preserve">Z ciepłomierza chłodniczego D-06 (MWh × 1000). Jeśli brak — obliczone poniżej</t>
  </si>
  <si>
    <t xml:space="preserve">Cena energii elektrycznej [zł/kWh]</t>
  </si>
  <si>
    <t xml:space="preserve">zł/kWh</t>
  </si>
  <si>
    <t xml:space="preserve">Faktura energii</t>
  </si>
  <si>
    <t xml:space="preserve">  SEKCJA 3 — OBLICZENIA MODELU BOTTOM-UP I EnPI CHŁODZENIA</t>
  </si>
  <si>
    <t xml:space="preserve">  EER_ekspl = Q_chłód [kWh] / E_el [kWh]  ·  Q_chłód_model = Q_c × obciążenie/100 × T_pracy  ·  EnPI = E_el / Q_chłód [kWh_el / kWh_chłód] = 1/EER_ekspl  ·  Koszt chłodzenia = E_el × cena_el</t>
  </si>
  <si>
    <t xml:space="preserve">EER nominalny obliczony (Q_c / P_el)</t>
  </si>
  <si>
    <t xml:space="preserve">OBLICZONA · EN 14511</t>
  </si>
  <si>
    <t xml:space="preserve"> = Q_c / P_el. Porównaj z deklarowanym przez producenta</t>
  </si>
  <si>
    <t xml:space="preserve">Q_chłód model (obliczony z danych eksploatacyjnych)</t>
  </si>
  <si>
    <t xml:space="preserve">OBLICZONA</t>
  </si>
  <si>
    <t xml:space="preserve"> = Q_c × obciążenie/100 × h_pracy. Porównaj z ciepłomierzem</t>
  </si>
  <si>
    <t xml:space="preserve">Walidacja |ΔQ| — odchylenie modelu od ciepłomierza [%]</t>
  </si>
  <si>
    <t xml:space="preserve">%</t>
  </si>
  <si>
    <t xml:space="preserve">OBLICZONA · P-EnMS-02</t>
  </si>
  <si>
    <t xml:space="preserve"> |ΔQ| = |Q_model - Q_licznik| / Q_licznik × 100. Cel: ≤5%</t>
  </si>
  <si>
    <t xml:space="preserve">Decyzja o modelu</t>
  </si>
  <si>
    <t xml:space="preserve">EER eksploatacyjny (z danych rzeczywistych)</t>
  </si>
  <si>
    <t xml:space="preserve"> = Q_chłód_licznik / E_el. Porównaj z EER nominalnym — różnica = degradacja sprawności</t>
  </si>
  <si>
    <t xml:space="preserve">Degradacja EER (EER_nom - EER_ekspl) / EER_nom [%]</t>
  </si>
  <si>
    <t xml:space="preserve"> Typowa degradacja w czasie: 5-15%. &gt;20% = wymaga serwisu / optymalizacji</t>
  </si>
  <si>
    <t xml:space="preserve">Koszt energii elektrycznej chłodzenia [zł/rok]</t>
  </si>
  <si>
    <t xml:space="preserve">zł/rok</t>
  </si>
  <si>
    <t xml:space="preserve">EnPI chłodzenia [kWh_el / kWh_chłód] = 1/EER</t>
  </si>
  <si>
    <t xml:space="preserve"> Im niższy tym lepszy. EER=3.0 → EnPI=0.33 · EER=5.0 → EnPI=0.20</t>
  </si>
  <si>
    <t xml:space="preserve">  SEKCJA 4 — COMPLIANCE F-GAZ I USTAWA O CHARAKTERYSTYCE ENERGETYCZNEJ</t>
  </si>
  <si>
    <t xml:space="preserve">Ekwiwalent CO₂eq urządzenia [t CO₂eq]</t>
  </si>
  <si>
    <t xml:space="preserve">t CO₂eq</t>
  </si>
  <si>
    <t xml:space="preserve">Sek.1 (obliczona)</t>
  </si>
  <si>
    <t xml:space="preserve">Przepisz z Sekcji 1. Decyduje o częstotliwości kontroli szczelności F-gaz</t>
  </si>
  <si>
    <t xml:space="preserve">OBLICZONA · art. 4 UE 517/2014</t>
  </si>
  <si>
    <t xml:space="preserve">Numer karty urządzenia w rejestrze BDO</t>
  </si>
  <si>
    <t xml:space="preserve">Etap1 B-04</t>
  </si>
  <si>
    <t xml:space="preserve">Przepisz z B-04. Weryfikacja: bdo.mos.gov.pl</t>
  </si>
  <si>
    <t xml:space="preserve">Etap1 B-05</t>
  </si>
  <si>
    <t xml:space="preserve">DD.MM.RRRR</t>
  </si>
  <si>
    <t xml:space="preserve">Wynik kontroli szczelności</t>
  </si>
  <si>
    <t xml:space="preserve">Etap1 B-06</t>
  </si>
  <si>
    <t xml:space="preserve">BRAK WYCIEKÓW / WYCIEK — ile kg</t>
  </si>
  <si>
    <t xml:space="preserve">Termin kolejnej kontroli szczelności F-gaz</t>
  </si>
  <si>
    <t xml:space="preserve">  termin = data_ostatniej + wymagana_częstotliwość</t>
  </si>
  <si>
    <t xml:space="preserve">Data kontroli wg ustawy o char. energetycznej (&gt;70 kW)</t>
  </si>
  <si>
    <t xml:space="preserve">Etap1 Z-02</t>
  </si>
  <si>
    <t xml:space="preserve">Numer protokołu e-CR</t>
  </si>
  <si>
    <t xml:space="preserve">Etap1 Z-03</t>
  </si>
  <si>
    <t xml:space="preserve">Format: XX/RRRR/NNNNNN</t>
  </si>
  <si>
    <t xml:space="preserve">Status compliance — F-gaz</t>
  </si>
  <si>
    <t xml:space="preserve">OBLICZONA · KLUCZOWE</t>
  </si>
  <si>
    <t xml:space="preserve">Status compliance — ustawa o char. energetycznej</t>
  </si>
  <si>
    <t xml:space="preserve">Niezgodności do Z-ZSZ-REG-01</t>
  </si>
  <si>
    <t xml:space="preserve">Etap1 Z-08</t>
  </si>
  <si>
    <t xml:space="preserve">Przepisz z Z-08. Każda niezgodność = wpis do Rejestru Wymagań Prawnych</t>
  </si>
  <si>
    <t xml:space="preserve">  ENESA  ·  A-EnMS-COOL-01  ·  ETAP 2 DTR  ·  v3.0  ·  UE 517/2014 F-gaz · Ustawa 29.08.2014 · UE 2016/2281 Ecodesign</t>
  </si>
  <si>
    <t xml:space="preserve">PASZPORT ENERGETYCZNY URZĄDZENIA CHŁODNICZEGO  ·  A-EnMS-COOL-01</t>
  </si>
  <si>
    <t xml:space="preserve">ISO 50001  ·  ENESA  ·  UE 517/2014 F-gaz  ·  UE 2016/2281 Ecodesign  ·  Wersja 3.0</t>
  </si>
  <si>
    <t xml:space="preserve">KOD QR:</t>
  </si>
  <si>
    <t xml:space="preserve">Typ:</t>
  </si>
  <si>
    <t xml:space="preserve">Status:</t>
  </si>
  <si>
    <t xml:space="preserve">  1.  IDENTYFIKACJA URZĄDZENIA</t>
  </si>
  <si>
    <t xml:space="preserve">Typ urządzenia</t>
  </si>
  <si>
    <t xml:space="preserve">[z Etap1 P-00]</t>
  </si>
  <si>
    <t xml:space="preserve">Producent / Model</t>
  </si>
  <si>
    <t xml:space="preserve">[z Etap1 A-02/A-03]</t>
  </si>
  <si>
    <t xml:space="preserve">[z Etap1 A-04]</t>
  </si>
  <si>
    <t xml:space="preserve">Czynnik chłodniczy</t>
  </si>
  <si>
    <t xml:space="preserve">[z Etap1 B-01]</t>
  </si>
  <si>
    <t xml:space="preserve">Masa czynnika [kg]</t>
  </si>
  <si>
    <t xml:space="preserve">[z Etap1 B-02]</t>
  </si>
  <si>
    <t xml:space="preserve">Klasa EU Ecodesign</t>
  </si>
  <si>
    <t xml:space="preserve">[z DTR Sek.1]</t>
  </si>
  <si>
    <t xml:space="preserve">Lokalizacja</t>
  </si>
  <si>
    <t xml:space="preserve">[z Etap1 A-06]</t>
  </si>
  <si>
    <t xml:space="preserve">Obsługiwana strefa</t>
  </si>
  <si>
    <t xml:space="preserve">[z Etap1 A-07]</t>
  </si>
  <si>
    <t xml:space="preserve">Free cooling</t>
  </si>
  <si>
    <t xml:space="preserve">[z Etap1 D-10]</t>
  </si>
  <si>
    <t xml:space="preserve">  2.  KLUCZOWE WSKAŹNIKI EnPI CHŁODZENIA  ★</t>
  </si>
  <si>
    <t xml:space="preserve">Wskaźnik</t>
  </si>
  <si>
    <t xml:space="preserve">Jednostka</t>
  </si>
  <si>
    <t xml:space="preserve">Benchmark</t>
  </si>
  <si>
    <t xml:space="preserve">Klasyfikacja</t>
  </si>
  <si>
    <t xml:space="preserve">EER nominalny</t>
  </si>
  <si>
    <t xml:space="preserve">&lt;2.5 zły · 2.5-3.5 przeciętny · 3.5-5.0 dobry · &gt;5.0 bardzo dobry</t>
  </si>
  <si>
    <t xml:space="preserve">[auto]</t>
  </si>
  <si>
    <t xml:space="preserve">EER eksploatacyjny (rzeczywisty)</t>
  </si>
  <si>
    <t xml:space="preserve">[z DTR Sek.3]</t>
  </si>
  <si>
    <t xml:space="preserve">Porównaj z nominalnym — różnica = degradacja sprawności w czasie</t>
  </si>
  <si>
    <t xml:space="preserve">SEER (sezonowy)</t>
  </si>
  <si>
    <t xml:space="preserve">Wyższy lepszy. Klasa EU: A+++&gt;8.5 · A++&gt;6.1 · A+&gt;5.6 · A&gt;5.1</t>
  </si>
  <si>
    <t xml:space="preserve">Degradacja EER [%]</t>
  </si>
  <si>
    <t xml:space="preserve">&lt;5% dobra · 5-15% normalna · &gt;20% wymaga serwisu/optymalizacji</t>
  </si>
  <si>
    <t xml:space="preserve">Ekwiwalent CO₂eq [t]</t>
  </si>
  <si>
    <t xml:space="preserve">[z DTR Sek.4]</t>
  </si>
  <si>
    <t xml:space="preserve">Decyduje o wymaganej częstotliwości kontroli szczelności F-gaz</t>
  </si>
  <si>
    <t xml:space="preserve">Walidacja modelu |ΔQ| [%]</t>
  </si>
  <si>
    <t xml:space="preserve">≤5% zatwierdzony · &gt;10% odrzucony</t>
  </si>
  <si>
    <t xml:space="preserve">Koszt energii chłodzenia [zł/rok]</t>
  </si>
  <si>
    <t xml:space="preserve">EnPI [kWh_el/kWh_chłód]</t>
  </si>
  <si>
    <t xml:space="preserve"> = 1/EER. Benchmark: &lt;0.3 dobry · 0.3-0.4 przeciętny · &gt;0.4 nieefektywny</t>
  </si>
  <si>
    <t xml:space="preserve">  3.  COMPLIANCE — F-GAZ + USTAWA CHAR. ENERGET. + ECODESIGN  ★★</t>
  </si>
  <si>
    <t xml:space="preserve">Wymaganie</t>
  </si>
  <si>
    <t xml:space="preserve">Stan / Data</t>
  </si>
  <si>
    <t xml:space="preserve">Status</t>
  </si>
  <si>
    <t xml:space="preserve">Podstawa prawna</t>
  </si>
  <si>
    <t xml:space="preserve">Karta urządzenia F-gaz w BDO</t>
  </si>
  <si>
    <t xml:space="preserve">[STATUS]</t>
  </si>
  <si>
    <t xml:space="preserve">Art.6 Rozp.UE 517/2014</t>
  </si>
  <si>
    <t xml:space="preserve">Kontrola szczelności F-gaz</t>
  </si>
  <si>
    <t xml:space="preserve">[z DTR Sek.4 — data]</t>
  </si>
  <si>
    <t xml:space="preserve">[STATUS F-gaz]</t>
  </si>
  <si>
    <t xml:space="preserve">Art.4 Rozp.UE 517/2014</t>
  </si>
  <si>
    <t xml:space="preserve">Termin kolejnej kontroli szczelności</t>
  </si>
  <si>
    <t xml:space="preserve">Wg CO₂eq urządzenia</t>
  </si>
  <si>
    <t xml:space="preserve">Kontrola wg ustawy char.energ. (&gt;70 kW)</t>
  </si>
  <si>
    <t xml:space="preserve">[STATUS ustawa]</t>
  </si>
  <si>
    <t xml:space="preserve">Art.23 Ustawy 29.08.2014</t>
  </si>
  <si>
    <t xml:space="preserve">Protokół w rejestrze e-CR</t>
  </si>
  <si>
    <t xml:space="preserve">[z DTR Sek.4 — nr]</t>
  </si>
  <si>
    <t xml:space="preserve">Rozp. MRiT 14.03.2023</t>
  </si>
  <si>
    <t xml:space="preserve">Termin kolejnej kontroli wg ustawy</t>
  </si>
  <si>
    <t xml:space="preserve">co 5 lat od ostatniej</t>
  </si>
  <si>
    <t xml:space="preserve">Art.23 ustawy</t>
  </si>
  <si>
    <t xml:space="preserve">Klasa Ecodesign (nowe urz. od 2021)</t>
  </si>
  <si>
    <t xml:space="preserve">Rozp.UE 2016/2281</t>
  </si>
  <si>
    <t xml:space="preserve">Niezgodności → Z-ZSZ-REG-01</t>
  </si>
  <si>
    <t xml:space="preserve">[z Etap1 Z-08]</t>
  </si>
  <si>
    <t xml:space="preserve">Wpis do rejestru wymagań</t>
  </si>
  <si>
    <t xml:space="preserve">  4.  STAN TECHNICZNY — ETAP 1</t>
  </si>
  <si>
    <t xml:space="preserve">Ocena ogólna (1-5)</t>
  </si>
  <si>
    <t xml:space="preserve">[z Etap1 Blok E]</t>
  </si>
  <si>
    <t xml:space="preserve">Stan skraplacza</t>
  </si>
  <si>
    <t xml:space="preserve">Lody/szronienie parowacza</t>
  </si>
  <si>
    <t xml:space="preserve">Izolacja rur wody lodowej</t>
  </si>
  <si>
    <t xml:space="preserve">Wentylatory skraplacza</t>
  </si>
  <si>
    <t xml:space="preserve">Data ostatniego przeglądu</t>
  </si>
  <si>
    <t xml:space="preserve">  5.  ZATWIERDZENIE PASZPORTU</t>
  </si>
  <si>
    <t xml:space="preserve">Pracownik UR (Etap 1):</t>
  </si>
  <si>
    <t xml:space="preserve">Podpis: ________________</t>
  </si>
  <si>
    <t xml:space="preserve">Data:</t>
  </si>
  <si>
    <t xml:space="preserve">________________</t>
  </si>
  <si>
    <t xml:space="preserve">Energy Manager (Etap 2):</t>
  </si>
  <si>
    <t xml:space="preserve">Konsultant ENESA:</t>
  </si>
  <si>
    <t xml:space="preserve">  ENESA  ·  A-EnMS-COOL-01  ·  Paszport Urządzenia Chłodniczego  ·  v3.0</t>
  </si>
  <si>
    <t xml:space="preserve">ENESA  ·  SYSTEM PROMPT — AGENT 1  ·  CHŁODZENIE COOL</t>
  </si>
  <si>
    <t xml:space="preserve">Skopiuj od wiersza 5 do ###DANE_KOMPLETNE### do konfiguracji Agenta 1</t>
  </si>
  <si>
    <t xml:space="preserve">⚠️  Blok Z = compliance F-gaz i ustawa o char.energet. — Agent pyta ZAWSZE, niezależnie od typu urządzenia</t>
  </si>
  <si>
    <t xml:space="preserve">── POCZĄTEK SYSTEM PROMPTU ──</t>
  </si>
  <si>
    <t xml:space="preserve">Jesteś Agentem 1 (Scout) ENESA — inwentaryzujesz URZĄDZENIE CHŁODNICZE.</t>
  </si>
  <si>
    <t xml:space="preserve">Rozmawiasz z pracownikiem UR lub Energy Managerem przy urządzeniu.</t>
  </si>
  <si>
    <t xml:space="preserve"> === PYTANIE ZEROWE — KLASYFIKACJA ===</t>
  </si>
  <si>
    <t xml:space="preserve">Zacznij od P-00: co to jest za urządzenie?</t>
  </si>
  <si>
    <t xml:space="preserve">A) Chiller (agregat wody lodowej)  B) Klimatyzator split/multi-split</t>
  </si>
  <si>
    <t xml:space="preserve">C) System VRF/VRV  D) Agregat procesowy  E) Wieża chłodnicza  F) FCU  G) Nie wiem</t>
  </si>
  <si>
    <t xml:space="preserve"> === BLOK A — IDENTYFIKACJA (A-01 do A-08) ===</t>
  </si>
  <si>
    <t xml:space="preserve">Tabliczka znamionowa: producent, model, rok, numer seryjny, lokalizacja, co chłodzi, DTR.</t>
  </si>
  <si>
    <t xml:space="preserve"> === BLOK B — CZYNNIK CHŁODNICZY F-GAZ (B-01 do B-07) ★★ KRYTYCZNY ===</t>
  </si>
  <si>
    <t xml:space="preserve">B-01: Typ czynnika (z tabliczki lub naklejki na urządzeniu).</t>
  </si>
  <si>
    <t xml:space="preserve">B-02: Masa napełnienia [kg] — z tabliczki.</t>
  </si>
  <si>
    <t xml:space="preserve">B-03: Czy jest karta urządzenia F-gaz w rejestrze BDO? — TAK/NIE — KRYTYCZNE.</t>
  </si>
  <si>
    <t xml:space="preserve">B-04: Numer karty BDO jeśli jest.</t>
  </si>
  <si>
    <t xml:space="preserve">B-05: Data ostatniej kontroli szczelności.</t>
  </si>
  <si>
    <t xml:space="preserve">B-06: Wynik kontroli szczelności — wyciek TAK/NIE.</t>
  </si>
  <si>
    <t xml:space="preserve">B-07: Czy urządzenie traci czynnik — uzupełnienia kg/rok.</t>
  </si>
  <si>
    <t xml:space="preserve"> === BLOK C — TABLICZKA ZNAMIONOWA (C-01 do C-09) ===</t>
  </si>
  <si>
    <t xml:space="preserve">★ KLUCZOWE: C-01 moc chłodnicza Q_c [kW], C-02 moc elektryczna P_el [kW].</t>
  </si>
  <si>
    <t xml:space="preserve">C-03: EER (jeśli podany). C-04: SEER. C-05: klasa EU. C-06: temperatura wody.</t>
  </si>
  <si>
    <t xml:space="preserve">C-07: typ skraplacza. C-08/C-09: tryb grzewczy (jeśli pompa ciepła).</t>
  </si>
  <si>
    <t xml:space="preserve"> === BLOK D — PARAMETRY EKSPLOATACYJNE (D-01 do D-10) ===</t>
  </si>
  <si>
    <t xml:space="preserve">Ze sterownika: D-01/D-02 temperatury zasilanie/powrót. D-03 obciążenie %.</t>
  </si>
  <si>
    <t xml:space="preserve">D-04/D-05: licznik kWh. D-06: ciepłomierz chłodniczy. D-07: motogodziny.</t>
  </si>
  <si>
    <t xml:space="preserve">D-08: nastawa set-point. D-09: weather-dependent setpoint. D-10: free cooling.</t>
  </si>
  <si>
    <t xml:space="preserve"> === BLOK E — STAN TECHNICZNY (E-01 do E-07) ===</t>
  </si>
  <si>
    <t xml:space="preserve">E-01: ocena 1-5. E-02: stan skraplacza. E-03: lody/szronienie.</t>
  </si>
  <si>
    <t xml:space="preserve">E-04: izolacja rur. E-05: wentylatory. E-06: data przeglądu. E-07: alarmy.</t>
  </si>
  <si>
    <t xml:space="preserve"> === BLOK Z — COMPLIANCE (Z-01 do Z-08) — ZAWSZE ===</t>
  </si>
  <si>
    <t xml:space="preserve">Z-01: kontrola wg ustawy char.energ. (&gt;70 kW — co 5 lat)?</t>
  </si>
  <si>
    <t xml:space="preserve">Z-02/Z-03: data i numer protokołu z e-CR.</t>
  </si>
  <si>
    <t xml:space="preserve">Z-04: karta BDO istnieje (F-gaz)?</t>
  </si>
  <si>
    <t xml:space="preserve">Z-05: wymagana częstotliwość kontroli szczelności (wg CO₂eq).</t>
  </si>
  <si>
    <t xml:space="preserve">Z-06: kontrole szczelności wykonywane zgodnie z wymaganiem?</t>
  </si>
  <si>
    <t xml:space="preserve">Z-07: urządzenie spełnia minimalne EER wg Ecodesign?</t>
  </si>
  <si>
    <t xml:space="preserve">Z-08: lista niezgodności do Z-ZSZ-REG-01.</t>
  </si>
  <si>
    <t xml:space="preserve">Wpisz: ###DANE_KOMPLETNE###</t>
  </si>
  <si>
    <t xml:space="preserve"> === MAPOWANIE JSON ===</t>
  </si>
  <si>
    <t xml:space="preserve">{</t>
  </si>
  <si>
    <t xml:space="preserve">  'device_type': 'P-00', 'manufacturer': 'A-02', 'model': 'A-03',</t>
  </si>
  <si>
    <t xml:space="preserve">  'year': 'A-04', 'serial_number': 'A-05', 'location': 'A-06',</t>
  </si>
  <si>
    <t xml:space="preserve">  'refrigerant_type': 'B-01', 'refrigerant_charge_kg': 'B-02',</t>
  </si>
  <si>
    <t xml:space="preserve">  'has_fgas_bdo_card': 'B-03', 'bdo_card_number': 'B-04',</t>
  </si>
  <si>
    <t xml:space="preserve">  'last_leak_check': 'B-05', 'leak_found': 'B-06', 'has_leaks': 'B-07',</t>
  </si>
  <si>
    <t xml:space="preserve">  'cooling_capacity_kw': 'C-01', 'power_input_kw': 'C-02',</t>
  </si>
  <si>
    <t xml:space="preserve">  'eer_nominal': 'C-03', 'seer': 'C-04', 'eu_class': 'C-05',</t>
  </si>
  <si>
    <t xml:space="preserve">  'water_temp_supply': 'C-06 (zasilanie)', 'water_temp_return': 'C-06 (powrót)',</t>
  </si>
  <si>
    <t xml:space="preserve">  'condenser_type': 'C-07',</t>
  </si>
  <si>
    <t xml:space="preserve">  'temp_supply_actual': 'D-01', 'temp_return_actual': 'D-02',</t>
  </si>
  <si>
    <t xml:space="preserve">  'load_pct': 'D-03', 'energy_kwh_year': 'D-05', 'heat_meter_mwh': 'D-06',</t>
  </si>
  <si>
    <t xml:space="preserve">  'compressor_hours': 'D-07', 'setpoint': 'D-08', 'has_free_cooling': 'D-10',</t>
  </si>
  <si>
    <t xml:space="preserve">  'condition_score': 'E-01', 'condenser_condition': 'E-02',</t>
  </si>
  <si>
    <t xml:space="preserve">  'last_service': 'E-06',</t>
  </si>
  <si>
    <t xml:space="preserve">  'law_inspection_done': 'Z-01', 'law_inspection_date': 'Z-02',</t>
  </si>
  <si>
    <t xml:space="preserve">  'ecr_protocol_number': 'Z-03', 'has_bdo_card': 'Z-04',</t>
  </si>
  <si>
    <t xml:space="preserve">  'fgas_check_frequency': 'Z-05', 'fgas_checks_compliant': 'Z-06',</t>
  </si>
  <si>
    <t xml:space="preserve">  'ecodesign_compliant': 'Z-07', 'compliance_issues': 'Z-08'</t>
  </si>
  <si>
    <t xml:space="preserve">}</t>
  </si>
  <si>
    <t xml:space="preserve">── KONIEC SYSTEM PROMPTU ──</t>
  </si>
</sst>
</file>

<file path=xl/styles.xml><?xml version="1.0" encoding="utf-8"?>
<styleSheet xmlns="http://schemas.openxmlformats.org/spreadsheetml/2006/main">
  <numFmts count="1">
    <numFmt numFmtId="164" formatCode="General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7F7F7F"/>
      <name val="Arial"/>
      <family val="0"/>
      <charset val="1"/>
    </font>
    <font>
      <b val="true"/>
      <sz val="9"/>
      <color rgb="FF1A3A5C"/>
      <name val="Arial"/>
      <family val="0"/>
      <charset val="1"/>
    </font>
    <font>
      <sz val="9"/>
      <color rgb="FF1A3A5C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b val="true"/>
      <sz val="10"/>
      <color rgb="FF1A6B8A"/>
      <name val="Arial"/>
      <family val="0"/>
      <charset val="1"/>
    </font>
    <font>
      <sz val="10"/>
      <color rgb="FF1A3A5C"/>
      <name val="Arial"/>
      <family val="0"/>
      <charset val="1"/>
    </font>
    <font>
      <i val="true"/>
      <sz val="10"/>
      <color rgb="FF7F7F7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10"/>
      <color rgb="FF1A6B8A"/>
      <name val="Arial"/>
      <family val="0"/>
      <charset val="1"/>
    </font>
    <font>
      <sz val="10"/>
      <color rgb="FF000080"/>
      <name val="Arial"/>
      <family val="0"/>
      <charset val="1"/>
    </font>
    <font>
      <b val="true"/>
      <sz val="10"/>
      <color rgb="FF1A3A5C"/>
      <name val="Arial"/>
      <family val="0"/>
      <charset val="1"/>
    </font>
    <font>
      <sz val="10"/>
      <color rgb="FFC0392B"/>
      <name val="Arial"/>
      <family val="0"/>
      <charset val="1"/>
    </font>
    <font>
      <b val="true"/>
      <sz val="10"/>
      <color rgb="FF1E7B34"/>
      <name val="Arial"/>
      <family val="0"/>
      <charset val="1"/>
    </font>
    <font>
      <sz val="9"/>
      <color rgb="FF1A1A2E"/>
      <name val="Courier New"/>
      <family val="0"/>
      <charset val="1"/>
    </font>
    <font>
      <sz val="9"/>
      <name val="Courier New"/>
      <family val="0"/>
      <charset val="1"/>
    </font>
    <font>
      <b val="true"/>
      <sz val="10"/>
      <color rgb="FF1A6B8A"/>
      <name val="Courier New"/>
      <family val="0"/>
      <charset val="1"/>
    </font>
    <font>
      <b val="true"/>
      <sz val="10"/>
      <color rgb="FFC0392B"/>
      <name val="Courier New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1A6B8A"/>
        <bgColor rgb="FF2E6DA4"/>
      </patternFill>
    </fill>
    <fill>
      <patternFill patternType="solid">
        <fgColor rgb="FFD0E8F0"/>
        <bgColor rgb="FFD6E4F0"/>
      </patternFill>
    </fill>
    <fill>
      <patternFill patternType="solid">
        <fgColor rgb="FFFFF2CC"/>
        <bgColor rgb="FFF4F4F4"/>
      </patternFill>
    </fill>
    <fill>
      <patternFill patternType="solid">
        <fgColor rgb="FFC0392B"/>
        <bgColor rgb="FF993366"/>
      </patternFill>
    </fill>
    <fill>
      <patternFill patternType="solid">
        <fgColor rgb="FFFADBD8"/>
        <bgColor rgb="FFFFF2CC"/>
      </patternFill>
    </fill>
    <fill>
      <patternFill patternType="solid">
        <fgColor rgb="FFFFFFFF"/>
        <bgColor rgb="FFF4F4F4"/>
      </patternFill>
    </fill>
    <fill>
      <patternFill patternType="solid">
        <fgColor rgb="FFF4F4F4"/>
        <bgColor rgb="FFF0F4F8"/>
      </patternFill>
    </fill>
    <fill>
      <patternFill patternType="solid">
        <fgColor rgb="FF2E6DA4"/>
        <bgColor rgb="FF1A6B8A"/>
      </patternFill>
    </fill>
    <fill>
      <patternFill patternType="solid">
        <fgColor rgb="FF1A3A5C"/>
        <bgColor rgb="FF333399"/>
      </patternFill>
    </fill>
    <fill>
      <patternFill patternType="solid">
        <fgColor rgb="FFEBF3FB"/>
        <bgColor rgb="FFF0F4F8"/>
      </patternFill>
    </fill>
    <fill>
      <patternFill patternType="solid">
        <fgColor rgb="FF1A7A6E"/>
        <bgColor rgb="FF1A6B8A"/>
      </patternFill>
    </fill>
    <fill>
      <patternFill patternType="solid">
        <fgColor rgb="FFF0F4F8"/>
        <bgColor rgb="FFF4F4F4"/>
      </patternFill>
    </fill>
    <fill>
      <patternFill patternType="solid">
        <fgColor rgb="FFD0EEEB"/>
        <bgColor rgb="FFD0E8F0"/>
      </patternFill>
    </fill>
    <fill>
      <patternFill patternType="solid">
        <fgColor rgb="FFD6E4F0"/>
        <bgColor rgb="FFD0E8F0"/>
      </patternFill>
    </fill>
    <fill>
      <patternFill patternType="solid">
        <fgColor rgb="FFD9F0E0"/>
        <bgColor rgb="FFD0EEEB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1A6B8A"/>
      </left>
      <right style="thin">
        <color rgb="FF1A6B8A"/>
      </right>
      <top style="thin">
        <color rgb="FF1A6B8A"/>
      </top>
      <bottom style="thin">
        <color rgb="FF1A6B8A"/>
      </bottom>
      <diagonal/>
    </border>
    <border diagonalUp="false" diagonalDown="false">
      <left style="thin">
        <color rgb="FF1A3A5C"/>
      </left>
      <right style="thin">
        <color rgb="FF1A3A5C"/>
      </right>
      <top style="thin">
        <color rgb="FF1A3A5C"/>
      </top>
      <bottom style="thin">
        <color rgb="FF1A3A5C"/>
      </bottom>
      <diagonal/>
    </border>
    <border diagonalUp="false" diagonalDown="false">
      <left style="thin">
        <color rgb="FFC0392B"/>
      </left>
      <right style="thin">
        <color rgb="FFC0392B"/>
      </right>
      <top style="thin">
        <color rgb="FFC0392B"/>
      </top>
      <bottom style="thin">
        <color rgb="FFC0392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9" fillId="1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0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1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2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3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9" fillId="1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7B34"/>
      <rgbColor rgb="FF000080"/>
      <rgbColor rgb="FF808000"/>
      <rgbColor rgb="FF800080"/>
      <rgbColor rgb="FF1A7A6E"/>
      <rgbColor rgb="FFCCCCCC"/>
      <rgbColor rgb="FF7F7F7F"/>
      <rgbColor rgb="FF9999FF"/>
      <rgbColor rgb="FF993366"/>
      <rgbColor rgb="FFFFF2CC"/>
      <rgbColor rgb="FFD0EEEB"/>
      <rgbColor rgb="FF660066"/>
      <rgbColor rgb="FFFF8080"/>
      <rgbColor rgb="FF2E6DA4"/>
      <rgbColor rgb="FFD6E4F0"/>
      <rgbColor rgb="FF000080"/>
      <rgbColor rgb="FFFF00FF"/>
      <rgbColor rgb="FFFFFF00"/>
      <rgbColor rgb="FF00FFFF"/>
      <rgbColor rgb="FF800080"/>
      <rgbColor rgb="FF800000"/>
      <rgbColor rgb="FF1A6B8A"/>
      <rgbColor rgb="FF0000FF"/>
      <rgbColor rgb="FF00CCFF"/>
      <rgbColor rgb="FFD0E8F0"/>
      <rgbColor rgb="FFD9F0E0"/>
      <rgbColor rgb="FFF4F4F4"/>
      <rgbColor rgb="FFEBF3FB"/>
      <rgbColor rgb="FFF0F4F8"/>
      <rgbColor rgb="FFCC99FF"/>
      <rgbColor rgb="FFFADBD8"/>
      <rgbColor rgb="FF3366FF"/>
      <rgbColor rgb="FF33CCCC"/>
      <rgbColor rgb="FF99CC00"/>
      <rgbColor rgb="FFFFCC00"/>
      <rgbColor rgb="FFFF9900"/>
      <rgbColor rgb="FFE87722"/>
      <rgbColor rgb="FF666699"/>
      <rgbColor rgb="FF969696"/>
      <rgbColor rgb="FF1A3A5C"/>
      <rgbColor rgb="FF339966"/>
      <rgbColor rgb="FF003300"/>
      <rgbColor rgb="FF333300"/>
      <rgbColor rgb="FFC0392B"/>
      <rgbColor rgb="FF993366"/>
      <rgbColor rgb="FF333399"/>
      <rgbColor rgb="FF1A1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87722"/>
    <pageSetUpPr fitToPage="false"/>
  </sheetPr>
  <dimension ref="A1:E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2"/>
    <col collapsed="false" customWidth="true" hidden="false" outlineLevel="0" max="3" min="3" style="0" width="28"/>
    <col collapsed="false" customWidth="true" hidden="false" outlineLevel="0" max="4" min="4" style="0" width="10"/>
    <col collapsed="false" customWidth="true" hidden="false" outlineLevel="0" max="5" min="5" style="0" width="42"/>
  </cols>
  <sheetData>
    <row r="1" customFormat="false" ht="42" hidden="false" customHeight="true" outlineLevel="0" collapsed="false">
      <c r="A1" s="1" t="s">
        <v>0</v>
      </c>
      <c r="B1" s="1"/>
      <c r="C1" s="1"/>
      <c r="D1" s="1"/>
      <c r="E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</row>
    <row r="3" customFormat="false" ht="19.5" hidden="false" customHeight="true" outlineLevel="0" collapsed="false">
      <c r="A3" s="3" t="s">
        <v>2</v>
      </c>
      <c r="B3" s="4"/>
      <c r="C3" s="3" t="s">
        <v>3</v>
      </c>
      <c r="D3" s="4"/>
      <c r="E3" s="3" t="s">
        <v>4</v>
      </c>
    </row>
    <row r="4" customFormat="false" ht="19.5" hidden="false" customHeight="true" outlineLevel="0" collapsed="false">
      <c r="A4" s="5" t="s">
        <v>5</v>
      </c>
      <c r="B4" s="5" t="s">
        <v>6</v>
      </c>
      <c r="C4" s="5" t="s">
        <v>7</v>
      </c>
      <c r="D4" s="5" t="s">
        <v>8</v>
      </c>
      <c r="E4" s="5" t="s">
        <v>9</v>
      </c>
    </row>
    <row r="5" customFormat="false" ht="21.75" hidden="false" customHeight="true" outlineLevel="0" collapsed="false">
      <c r="A5" s="6" t="s">
        <v>10</v>
      </c>
      <c r="B5" s="6"/>
      <c r="C5" s="6"/>
      <c r="D5" s="6"/>
      <c r="E5" s="6"/>
    </row>
    <row r="6" customFormat="false" ht="79.5" hidden="false" customHeight="true" outlineLevel="0" collapsed="false">
      <c r="A6" s="7" t="s">
        <v>11</v>
      </c>
      <c r="B6" s="7"/>
      <c r="C6" s="7"/>
      <c r="D6" s="7"/>
      <c r="E6" s="7"/>
    </row>
    <row r="7" customFormat="false" ht="21.75" hidden="false" customHeight="true" outlineLevel="0" collapsed="false">
      <c r="A7" s="8" t="s">
        <v>12</v>
      </c>
      <c r="B7" s="8"/>
      <c r="C7" s="8"/>
      <c r="D7" s="8"/>
      <c r="E7" s="8"/>
    </row>
    <row r="8" customFormat="false" ht="31.5" hidden="false" customHeight="true" outlineLevel="0" collapsed="false">
      <c r="A8" s="9" t="s">
        <v>13</v>
      </c>
      <c r="B8" s="10" t="s">
        <v>14</v>
      </c>
      <c r="C8" s="11"/>
      <c r="D8" s="12"/>
      <c r="E8" s="13" t="s">
        <v>15</v>
      </c>
    </row>
    <row r="9" customFormat="false" ht="31.5" hidden="false" customHeight="true" outlineLevel="0" collapsed="false">
      <c r="A9" s="9" t="s">
        <v>16</v>
      </c>
      <c r="B9" s="10" t="s">
        <v>17</v>
      </c>
      <c r="C9" s="11"/>
      <c r="D9" s="12"/>
      <c r="E9" s="13" t="s">
        <v>18</v>
      </c>
    </row>
    <row r="10" customFormat="false" ht="31.5" hidden="false" customHeight="true" outlineLevel="0" collapsed="false">
      <c r="A10" s="9" t="s">
        <v>19</v>
      </c>
      <c r="B10" s="10" t="s">
        <v>20</v>
      </c>
      <c r="C10" s="11"/>
      <c r="D10" s="12"/>
      <c r="E10" s="13" t="s">
        <v>21</v>
      </c>
    </row>
    <row r="11" customFormat="false" ht="31.5" hidden="false" customHeight="true" outlineLevel="0" collapsed="false">
      <c r="A11" s="9" t="s">
        <v>22</v>
      </c>
      <c r="B11" s="10" t="s">
        <v>23</v>
      </c>
      <c r="C11" s="11"/>
      <c r="D11" s="12" t="s">
        <v>24</v>
      </c>
      <c r="E11" s="13" t="s">
        <v>25</v>
      </c>
    </row>
    <row r="12" customFormat="false" ht="31.5" hidden="false" customHeight="true" outlineLevel="0" collapsed="false">
      <c r="A12" s="9" t="s">
        <v>26</v>
      </c>
      <c r="B12" s="10" t="s">
        <v>27</v>
      </c>
      <c r="C12" s="11"/>
      <c r="D12" s="12"/>
      <c r="E12" s="13" t="s">
        <v>28</v>
      </c>
    </row>
    <row r="13" customFormat="false" ht="31.5" hidden="false" customHeight="true" outlineLevel="0" collapsed="false">
      <c r="A13" s="9" t="s">
        <v>29</v>
      </c>
      <c r="B13" s="10" t="s">
        <v>30</v>
      </c>
      <c r="C13" s="11"/>
      <c r="D13" s="12"/>
      <c r="E13" s="13" t="s">
        <v>31</v>
      </c>
    </row>
    <row r="14" customFormat="false" ht="31.5" hidden="false" customHeight="true" outlineLevel="0" collapsed="false">
      <c r="A14" s="9" t="s">
        <v>32</v>
      </c>
      <c r="B14" s="10" t="s">
        <v>33</v>
      </c>
      <c r="C14" s="11"/>
      <c r="D14" s="12"/>
      <c r="E14" s="13" t="s">
        <v>34</v>
      </c>
    </row>
    <row r="15" customFormat="false" ht="31.5" hidden="false" customHeight="true" outlineLevel="0" collapsed="false">
      <c r="A15" s="9" t="s">
        <v>35</v>
      </c>
      <c r="B15" s="10" t="s">
        <v>36</v>
      </c>
      <c r="C15" s="11"/>
      <c r="D15" s="12"/>
      <c r="E15" s="13" t="s">
        <v>37</v>
      </c>
    </row>
    <row r="16" customFormat="false" ht="21.75" hidden="false" customHeight="true" outlineLevel="0" collapsed="false">
      <c r="A16" s="6" t="s">
        <v>38</v>
      </c>
      <c r="B16" s="6"/>
      <c r="C16" s="6"/>
      <c r="D16" s="6"/>
      <c r="E16" s="6"/>
    </row>
    <row r="17" customFormat="false" ht="55.5" hidden="false" customHeight="true" outlineLevel="0" collapsed="false">
      <c r="A17" s="7" t="s">
        <v>39</v>
      </c>
      <c r="B17" s="7"/>
      <c r="C17" s="7"/>
      <c r="D17" s="7"/>
      <c r="E17" s="7"/>
    </row>
    <row r="18" customFormat="false" ht="43.5" hidden="false" customHeight="true" outlineLevel="0" collapsed="false">
      <c r="A18" s="9" t="s">
        <v>40</v>
      </c>
      <c r="B18" s="10" t="s">
        <v>41</v>
      </c>
      <c r="C18" s="11"/>
      <c r="D18" s="12"/>
      <c r="E18" s="13" t="s">
        <v>42</v>
      </c>
    </row>
    <row r="19" customFormat="false" ht="31.5" hidden="false" customHeight="true" outlineLevel="0" collapsed="false">
      <c r="A19" s="9" t="s">
        <v>43</v>
      </c>
      <c r="B19" s="10" t="s">
        <v>44</v>
      </c>
      <c r="C19" s="11"/>
      <c r="D19" s="12" t="s">
        <v>45</v>
      </c>
      <c r="E19" s="13" t="s">
        <v>46</v>
      </c>
    </row>
    <row r="20" customFormat="false" ht="43.5" hidden="false" customHeight="true" outlineLevel="0" collapsed="false">
      <c r="A20" s="9" t="s">
        <v>47</v>
      </c>
      <c r="B20" s="10" t="s">
        <v>48</v>
      </c>
      <c r="C20" s="14"/>
      <c r="D20" s="12"/>
      <c r="E20" s="13" t="s">
        <v>49</v>
      </c>
    </row>
    <row r="21" customFormat="false" ht="31.5" hidden="false" customHeight="true" outlineLevel="0" collapsed="false">
      <c r="A21" s="9" t="s">
        <v>50</v>
      </c>
      <c r="B21" s="10" t="s">
        <v>51</v>
      </c>
      <c r="C21" s="14"/>
      <c r="D21" s="12"/>
      <c r="E21" s="13" t="s">
        <v>52</v>
      </c>
    </row>
    <row r="22" customFormat="false" ht="43.5" hidden="false" customHeight="true" outlineLevel="0" collapsed="false">
      <c r="A22" s="9" t="s">
        <v>53</v>
      </c>
      <c r="B22" s="10" t="s">
        <v>54</v>
      </c>
      <c r="C22" s="11"/>
      <c r="D22" s="12"/>
      <c r="E22" s="13" t="s">
        <v>55</v>
      </c>
    </row>
    <row r="23" customFormat="false" ht="31.5" hidden="false" customHeight="true" outlineLevel="0" collapsed="false">
      <c r="A23" s="9" t="s">
        <v>56</v>
      </c>
      <c r="B23" s="10" t="s">
        <v>57</v>
      </c>
      <c r="C23" s="11"/>
      <c r="D23" s="12"/>
      <c r="E23" s="13" t="s">
        <v>58</v>
      </c>
    </row>
    <row r="24" customFormat="false" ht="43.5" hidden="false" customHeight="true" outlineLevel="0" collapsed="false">
      <c r="A24" s="9" t="s">
        <v>59</v>
      </c>
      <c r="B24" s="10" t="s">
        <v>60</v>
      </c>
      <c r="C24" s="11"/>
      <c r="D24" s="12"/>
      <c r="E24" s="13" t="s">
        <v>61</v>
      </c>
    </row>
    <row r="25" customFormat="false" ht="21.75" hidden="false" customHeight="true" outlineLevel="0" collapsed="false">
      <c r="A25" s="8" t="s">
        <v>62</v>
      </c>
      <c r="B25" s="8"/>
      <c r="C25" s="8"/>
      <c r="D25" s="8"/>
      <c r="E25" s="8"/>
    </row>
    <row r="26" customFormat="false" ht="27.75" hidden="false" customHeight="true" outlineLevel="0" collapsed="false">
      <c r="A26" s="15" t="s">
        <v>63</v>
      </c>
      <c r="B26" s="15"/>
      <c r="C26" s="15"/>
      <c r="D26" s="15"/>
      <c r="E26" s="15"/>
    </row>
    <row r="27" customFormat="false" ht="43.5" hidden="false" customHeight="true" outlineLevel="0" collapsed="false">
      <c r="A27" s="9" t="s">
        <v>64</v>
      </c>
      <c r="B27" s="10" t="s">
        <v>65</v>
      </c>
      <c r="C27" s="11"/>
      <c r="D27" s="12" t="s">
        <v>66</v>
      </c>
      <c r="E27" s="13" t="s">
        <v>67</v>
      </c>
    </row>
    <row r="28" customFormat="false" ht="43.5" hidden="false" customHeight="true" outlineLevel="0" collapsed="false">
      <c r="A28" s="9" t="s">
        <v>68</v>
      </c>
      <c r="B28" s="10" t="s">
        <v>69</v>
      </c>
      <c r="C28" s="11"/>
      <c r="D28" s="12" t="s">
        <v>66</v>
      </c>
      <c r="E28" s="13" t="s">
        <v>70</v>
      </c>
    </row>
    <row r="29" customFormat="false" ht="43.5" hidden="false" customHeight="true" outlineLevel="0" collapsed="false">
      <c r="A29" s="9" t="s">
        <v>71</v>
      </c>
      <c r="B29" s="10" t="s">
        <v>72</v>
      </c>
      <c r="C29" s="11"/>
      <c r="D29" s="12"/>
      <c r="E29" s="13" t="s">
        <v>73</v>
      </c>
    </row>
    <row r="30" customFormat="false" ht="43.5" hidden="false" customHeight="true" outlineLevel="0" collapsed="false">
      <c r="A30" s="9" t="s">
        <v>74</v>
      </c>
      <c r="B30" s="10" t="s">
        <v>75</v>
      </c>
      <c r="C30" s="11"/>
      <c r="D30" s="12"/>
      <c r="E30" s="13" t="s">
        <v>76</v>
      </c>
    </row>
    <row r="31" customFormat="false" ht="43.5" hidden="false" customHeight="true" outlineLevel="0" collapsed="false">
      <c r="A31" s="9" t="s">
        <v>77</v>
      </c>
      <c r="B31" s="10" t="s">
        <v>78</v>
      </c>
      <c r="C31" s="11"/>
      <c r="D31" s="12"/>
      <c r="E31" s="13" t="s">
        <v>79</v>
      </c>
    </row>
    <row r="32" customFormat="false" ht="43.5" hidden="false" customHeight="true" outlineLevel="0" collapsed="false">
      <c r="A32" s="9" t="s">
        <v>80</v>
      </c>
      <c r="B32" s="10" t="s">
        <v>81</v>
      </c>
      <c r="C32" s="11"/>
      <c r="D32" s="12" t="s">
        <v>82</v>
      </c>
      <c r="E32" s="13" t="s">
        <v>83</v>
      </c>
    </row>
    <row r="33" customFormat="false" ht="31.5" hidden="false" customHeight="true" outlineLevel="0" collapsed="false">
      <c r="A33" s="9" t="s">
        <v>84</v>
      </c>
      <c r="B33" s="10" t="s">
        <v>85</v>
      </c>
      <c r="C33" s="11"/>
      <c r="D33" s="12"/>
      <c r="E33" s="13" t="s">
        <v>86</v>
      </c>
    </row>
    <row r="34" customFormat="false" ht="43.5" hidden="false" customHeight="true" outlineLevel="0" collapsed="false">
      <c r="A34" s="9" t="s">
        <v>87</v>
      </c>
      <c r="B34" s="10" t="s">
        <v>88</v>
      </c>
      <c r="C34" s="11"/>
      <c r="D34" s="12" t="s">
        <v>66</v>
      </c>
      <c r="E34" s="13" t="s">
        <v>89</v>
      </c>
    </row>
    <row r="35" customFormat="false" ht="31.5" hidden="false" customHeight="true" outlineLevel="0" collapsed="false">
      <c r="A35" s="9" t="s">
        <v>90</v>
      </c>
      <c r="B35" s="10" t="s">
        <v>91</v>
      </c>
      <c r="C35" s="11"/>
      <c r="D35" s="12"/>
      <c r="E35" s="13" t="s">
        <v>92</v>
      </c>
    </row>
    <row r="36" customFormat="false" ht="21.75" hidden="false" customHeight="true" outlineLevel="0" collapsed="false">
      <c r="A36" s="16" t="s">
        <v>93</v>
      </c>
      <c r="B36" s="16"/>
      <c r="C36" s="16"/>
      <c r="D36" s="16"/>
      <c r="E36" s="16"/>
    </row>
    <row r="37" customFormat="false" ht="31.5" hidden="false" customHeight="true" outlineLevel="0" collapsed="false">
      <c r="A37" s="9" t="s">
        <v>94</v>
      </c>
      <c r="B37" s="10" t="s">
        <v>95</v>
      </c>
      <c r="C37" s="11"/>
      <c r="D37" s="12" t="s">
        <v>96</v>
      </c>
      <c r="E37" s="13" t="s">
        <v>97</v>
      </c>
    </row>
    <row r="38" customFormat="false" ht="31.5" hidden="false" customHeight="true" outlineLevel="0" collapsed="false">
      <c r="A38" s="9" t="s">
        <v>98</v>
      </c>
      <c r="B38" s="10" t="s">
        <v>99</v>
      </c>
      <c r="C38" s="11"/>
      <c r="D38" s="12" t="s">
        <v>96</v>
      </c>
      <c r="E38" s="13" t="s">
        <v>100</v>
      </c>
    </row>
    <row r="39" customFormat="false" ht="31.5" hidden="false" customHeight="true" outlineLevel="0" collapsed="false">
      <c r="A39" s="9" t="s">
        <v>101</v>
      </c>
      <c r="B39" s="10" t="s">
        <v>102</v>
      </c>
      <c r="C39" s="11"/>
      <c r="D39" s="12" t="s">
        <v>103</v>
      </c>
      <c r="E39" s="13" t="s">
        <v>104</v>
      </c>
    </row>
    <row r="40" customFormat="false" ht="31.5" hidden="false" customHeight="true" outlineLevel="0" collapsed="false">
      <c r="A40" s="9" t="s">
        <v>105</v>
      </c>
      <c r="B40" s="10" t="s">
        <v>106</v>
      </c>
      <c r="C40" s="11"/>
      <c r="D40" s="12"/>
      <c r="E40" s="13" t="s">
        <v>107</v>
      </c>
    </row>
    <row r="41" customFormat="false" ht="31.5" hidden="false" customHeight="true" outlineLevel="0" collapsed="false">
      <c r="A41" s="9" t="s">
        <v>108</v>
      </c>
      <c r="B41" s="10" t="s">
        <v>109</v>
      </c>
      <c r="C41" s="11"/>
      <c r="D41" s="12" t="s">
        <v>110</v>
      </c>
      <c r="E41" s="13" t="s">
        <v>111</v>
      </c>
    </row>
    <row r="42" customFormat="false" ht="31.5" hidden="false" customHeight="true" outlineLevel="0" collapsed="false">
      <c r="A42" s="9" t="s">
        <v>112</v>
      </c>
      <c r="B42" s="10" t="s">
        <v>113</v>
      </c>
      <c r="C42" s="11"/>
      <c r="D42" s="12" t="s">
        <v>114</v>
      </c>
      <c r="E42" s="13" t="s">
        <v>115</v>
      </c>
    </row>
    <row r="43" customFormat="false" ht="31.5" hidden="false" customHeight="true" outlineLevel="0" collapsed="false">
      <c r="A43" s="9" t="s">
        <v>116</v>
      </c>
      <c r="B43" s="10" t="s">
        <v>117</v>
      </c>
      <c r="C43" s="11"/>
      <c r="D43" s="12" t="s">
        <v>118</v>
      </c>
      <c r="E43" s="13" t="s">
        <v>119</v>
      </c>
    </row>
    <row r="44" customFormat="false" ht="31.5" hidden="false" customHeight="true" outlineLevel="0" collapsed="false">
      <c r="A44" s="9" t="s">
        <v>120</v>
      </c>
      <c r="B44" s="10" t="s">
        <v>121</v>
      </c>
      <c r="C44" s="11"/>
      <c r="D44" s="12" t="s">
        <v>96</v>
      </c>
      <c r="E44" s="13" t="s">
        <v>122</v>
      </c>
    </row>
    <row r="45" customFormat="false" ht="43.5" hidden="false" customHeight="true" outlineLevel="0" collapsed="false">
      <c r="A45" s="9" t="s">
        <v>123</v>
      </c>
      <c r="B45" s="10" t="s">
        <v>124</v>
      </c>
      <c r="C45" s="11"/>
      <c r="D45" s="12"/>
      <c r="E45" s="13" t="s">
        <v>125</v>
      </c>
    </row>
    <row r="46" customFormat="false" ht="43.5" hidden="false" customHeight="true" outlineLevel="0" collapsed="false">
      <c r="A46" s="9" t="s">
        <v>126</v>
      </c>
      <c r="B46" s="10" t="s">
        <v>127</v>
      </c>
      <c r="C46" s="11"/>
      <c r="D46" s="12"/>
      <c r="E46" s="13" t="s">
        <v>128</v>
      </c>
    </row>
    <row r="47" customFormat="false" ht="21.75" hidden="false" customHeight="true" outlineLevel="0" collapsed="false">
      <c r="A47" s="6" t="s">
        <v>129</v>
      </c>
      <c r="B47" s="6"/>
      <c r="C47" s="6"/>
      <c r="D47" s="6"/>
      <c r="E47" s="6"/>
    </row>
    <row r="48" customFormat="false" ht="31.5" hidden="false" customHeight="true" outlineLevel="0" collapsed="false">
      <c r="A48" s="9" t="s">
        <v>130</v>
      </c>
      <c r="B48" s="10" t="s">
        <v>131</v>
      </c>
      <c r="C48" s="11"/>
      <c r="D48" s="12"/>
      <c r="E48" s="13" t="s">
        <v>132</v>
      </c>
    </row>
    <row r="49" customFormat="false" ht="43.5" hidden="false" customHeight="true" outlineLevel="0" collapsed="false">
      <c r="A49" s="9" t="s">
        <v>133</v>
      </c>
      <c r="B49" s="10" t="s">
        <v>134</v>
      </c>
      <c r="C49" s="11"/>
      <c r="D49" s="12"/>
      <c r="E49" s="13" t="s">
        <v>135</v>
      </c>
    </row>
    <row r="50" customFormat="false" ht="43.5" hidden="false" customHeight="true" outlineLevel="0" collapsed="false">
      <c r="A50" s="9" t="s">
        <v>136</v>
      </c>
      <c r="B50" s="10" t="s">
        <v>137</v>
      </c>
      <c r="C50" s="11"/>
      <c r="D50" s="12"/>
      <c r="E50" s="13" t="s">
        <v>138</v>
      </c>
    </row>
    <row r="51" customFormat="false" ht="43.5" hidden="false" customHeight="true" outlineLevel="0" collapsed="false">
      <c r="A51" s="9" t="s">
        <v>139</v>
      </c>
      <c r="B51" s="10" t="s">
        <v>140</v>
      </c>
      <c r="C51" s="11"/>
      <c r="D51" s="12"/>
      <c r="E51" s="13" t="s">
        <v>141</v>
      </c>
    </row>
    <row r="52" customFormat="false" ht="31.5" hidden="false" customHeight="true" outlineLevel="0" collapsed="false">
      <c r="A52" s="9" t="s">
        <v>142</v>
      </c>
      <c r="B52" s="10" t="s">
        <v>143</v>
      </c>
      <c r="C52" s="11"/>
      <c r="D52" s="12"/>
      <c r="E52" s="13" t="s">
        <v>144</v>
      </c>
    </row>
    <row r="53" customFormat="false" ht="31.5" hidden="false" customHeight="true" outlineLevel="0" collapsed="false">
      <c r="A53" s="9" t="s">
        <v>145</v>
      </c>
      <c r="B53" s="10" t="s">
        <v>146</v>
      </c>
      <c r="C53" s="11"/>
      <c r="D53" s="12"/>
      <c r="E53" s="13" t="s">
        <v>147</v>
      </c>
    </row>
    <row r="54" customFormat="false" ht="31.5" hidden="false" customHeight="true" outlineLevel="0" collapsed="false">
      <c r="A54" s="9" t="s">
        <v>148</v>
      </c>
      <c r="B54" s="10" t="s">
        <v>149</v>
      </c>
      <c r="C54" s="11"/>
      <c r="D54" s="12"/>
      <c r="E54" s="13" t="s">
        <v>150</v>
      </c>
    </row>
    <row r="55" customFormat="false" ht="21.75" hidden="false" customHeight="true" outlineLevel="0" collapsed="false">
      <c r="A55" s="6" t="s">
        <v>151</v>
      </c>
      <c r="B55" s="6"/>
      <c r="C55" s="6"/>
      <c r="D55" s="6"/>
      <c r="E55" s="6"/>
    </row>
    <row r="56" customFormat="false" ht="63.75" hidden="false" customHeight="true" outlineLevel="0" collapsed="false">
      <c r="A56" s="7" t="s">
        <v>152</v>
      </c>
      <c r="B56" s="7"/>
      <c r="C56" s="7"/>
      <c r="D56" s="7"/>
      <c r="E56" s="7"/>
    </row>
    <row r="57" customFormat="false" ht="48" hidden="false" customHeight="true" outlineLevel="0" collapsed="false">
      <c r="A57" s="9" t="s">
        <v>153</v>
      </c>
      <c r="B57" s="10" t="s">
        <v>154</v>
      </c>
      <c r="C57" s="14"/>
      <c r="D57" s="12"/>
      <c r="E57" s="13" t="s">
        <v>155</v>
      </c>
    </row>
    <row r="58" customFormat="false" ht="48" hidden="false" customHeight="true" outlineLevel="0" collapsed="false">
      <c r="A58" s="9" t="s">
        <v>156</v>
      </c>
      <c r="B58" s="10" t="s">
        <v>157</v>
      </c>
      <c r="C58" s="11"/>
      <c r="D58" s="12"/>
      <c r="E58" s="13" t="s">
        <v>158</v>
      </c>
    </row>
    <row r="59" customFormat="false" ht="48" hidden="false" customHeight="true" outlineLevel="0" collapsed="false">
      <c r="A59" s="9" t="s">
        <v>159</v>
      </c>
      <c r="B59" s="10" t="s">
        <v>160</v>
      </c>
      <c r="C59" s="14"/>
      <c r="D59" s="12"/>
      <c r="E59" s="13" t="s">
        <v>161</v>
      </c>
    </row>
    <row r="60" customFormat="false" ht="48" hidden="false" customHeight="true" outlineLevel="0" collapsed="false">
      <c r="A60" s="9" t="s">
        <v>162</v>
      </c>
      <c r="B60" s="10" t="s">
        <v>163</v>
      </c>
      <c r="C60" s="14"/>
      <c r="D60" s="12"/>
      <c r="E60" s="13" t="s">
        <v>164</v>
      </c>
    </row>
    <row r="61" customFormat="false" ht="48" hidden="false" customHeight="true" outlineLevel="0" collapsed="false">
      <c r="A61" s="9" t="s">
        <v>165</v>
      </c>
      <c r="B61" s="10" t="s">
        <v>166</v>
      </c>
      <c r="C61" s="11"/>
      <c r="D61" s="12"/>
      <c r="E61" s="13" t="s">
        <v>167</v>
      </c>
    </row>
    <row r="62" customFormat="false" ht="48" hidden="false" customHeight="true" outlineLevel="0" collapsed="false">
      <c r="A62" s="9" t="s">
        <v>168</v>
      </c>
      <c r="B62" s="10" t="s">
        <v>169</v>
      </c>
      <c r="C62" s="14"/>
      <c r="D62" s="12"/>
      <c r="E62" s="13" t="s">
        <v>170</v>
      </c>
    </row>
    <row r="63" customFormat="false" ht="48" hidden="false" customHeight="true" outlineLevel="0" collapsed="false">
      <c r="A63" s="9" t="s">
        <v>171</v>
      </c>
      <c r="B63" s="10" t="s">
        <v>172</v>
      </c>
      <c r="C63" s="11"/>
      <c r="D63" s="12"/>
      <c r="E63" s="13" t="s">
        <v>173</v>
      </c>
    </row>
    <row r="64" customFormat="false" ht="48" hidden="false" customHeight="true" outlineLevel="0" collapsed="false">
      <c r="A64" s="9" t="s">
        <v>174</v>
      </c>
      <c r="B64" s="10" t="s">
        <v>175</v>
      </c>
      <c r="C64" s="14"/>
      <c r="D64" s="12"/>
      <c r="E64" s="13" t="s">
        <v>176</v>
      </c>
    </row>
    <row r="65" customFormat="false" ht="13.5" hidden="false" customHeight="true" outlineLevel="0" collapsed="false">
      <c r="A65" s="17" t="s">
        <v>177</v>
      </c>
      <c r="B65" s="17"/>
      <c r="C65" s="17"/>
      <c r="D65" s="17"/>
      <c r="E65" s="17"/>
    </row>
  </sheetData>
  <mergeCells count="14">
    <mergeCell ref="A1:E1"/>
    <mergeCell ref="A2:E2"/>
    <mergeCell ref="A5:E5"/>
    <mergeCell ref="A6:E6"/>
    <mergeCell ref="A7:E7"/>
    <mergeCell ref="A16:E16"/>
    <mergeCell ref="A17:E17"/>
    <mergeCell ref="A25:E25"/>
    <mergeCell ref="A26:E26"/>
    <mergeCell ref="A36:E36"/>
    <mergeCell ref="A47:E47"/>
    <mergeCell ref="A55:E55"/>
    <mergeCell ref="A56:E56"/>
    <mergeCell ref="A65:E6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6DA4"/>
    <pageSetUpPr fitToPage="false"/>
  </sheetPr>
  <dimension ref="A1:E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22"/>
    <col collapsed="false" customWidth="true" hidden="false" outlineLevel="0" max="5" min="5" style="0" width="40"/>
  </cols>
  <sheetData>
    <row r="1" customFormat="false" ht="42" hidden="false" customHeight="true" outlineLevel="0" collapsed="false">
      <c r="A1" s="1" t="s">
        <v>178</v>
      </c>
      <c r="B1" s="1"/>
      <c r="C1" s="1"/>
      <c r="D1" s="1"/>
      <c r="E1" s="1"/>
    </row>
    <row r="2" customFormat="false" ht="15.75" hidden="false" customHeight="true" outlineLevel="0" collapsed="false">
      <c r="A2" s="2" t="s">
        <v>179</v>
      </c>
      <c r="B2" s="2"/>
      <c r="C2" s="2"/>
      <c r="D2" s="2"/>
      <c r="E2" s="2"/>
    </row>
    <row r="3" customFormat="false" ht="19.5" hidden="false" customHeight="true" outlineLevel="0" collapsed="false">
      <c r="A3" s="5" t="s">
        <v>180</v>
      </c>
      <c r="B3" s="5" t="s">
        <v>181</v>
      </c>
      <c r="C3" s="5" t="s">
        <v>8</v>
      </c>
      <c r="D3" s="5" t="s">
        <v>182</v>
      </c>
      <c r="E3" s="5" t="s">
        <v>183</v>
      </c>
    </row>
    <row r="4" customFormat="false" ht="21.75" hidden="false" customHeight="true" outlineLevel="0" collapsed="false">
      <c r="A4" s="18" t="s">
        <v>184</v>
      </c>
      <c r="B4" s="18"/>
      <c r="C4" s="18"/>
      <c r="D4" s="18"/>
      <c r="E4" s="18"/>
    </row>
    <row r="5" customFormat="false" ht="27.75" hidden="false" customHeight="true" outlineLevel="0" collapsed="false">
      <c r="A5" s="10" t="s">
        <v>185</v>
      </c>
      <c r="B5" s="19"/>
      <c r="C5" s="12"/>
      <c r="D5" s="20" t="s">
        <v>186</v>
      </c>
      <c r="E5" s="13" t="s">
        <v>187</v>
      </c>
    </row>
    <row r="6" customFormat="false" ht="27.75" hidden="false" customHeight="true" outlineLevel="0" collapsed="false">
      <c r="A6" s="10" t="s">
        <v>188</v>
      </c>
      <c r="B6" s="19"/>
      <c r="C6" s="12"/>
      <c r="D6" s="20" t="s">
        <v>189</v>
      </c>
      <c r="E6" s="13" t="s">
        <v>190</v>
      </c>
    </row>
    <row r="7" customFormat="false" ht="27.75" hidden="false" customHeight="true" outlineLevel="0" collapsed="false">
      <c r="A7" s="10" t="s">
        <v>23</v>
      </c>
      <c r="B7" s="19"/>
      <c r="C7" s="12" t="s">
        <v>24</v>
      </c>
      <c r="D7" s="20" t="s">
        <v>191</v>
      </c>
      <c r="E7" s="13"/>
    </row>
    <row r="8" customFormat="false" ht="27.75" hidden="false" customHeight="true" outlineLevel="0" collapsed="false">
      <c r="A8" s="10" t="s">
        <v>192</v>
      </c>
      <c r="B8" s="19"/>
      <c r="C8" s="12"/>
      <c r="D8" s="20" t="s">
        <v>193</v>
      </c>
      <c r="E8" s="13" t="s">
        <v>194</v>
      </c>
    </row>
    <row r="9" customFormat="false" ht="27.75" hidden="false" customHeight="true" outlineLevel="0" collapsed="false">
      <c r="A9" s="10" t="s">
        <v>195</v>
      </c>
      <c r="B9" s="19"/>
      <c r="C9" s="12" t="s">
        <v>45</v>
      </c>
      <c r="D9" s="20" t="s">
        <v>196</v>
      </c>
      <c r="E9" s="13" t="s">
        <v>197</v>
      </c>
    </row>
    <row r="10" customFormat="false" ht="27.75" hidden="false" customHeight="true" outlineLevel="0" collapsed="false">
      <c r="A10" s="10" t="s">
        <v>198</v>
      </c>
      <c r="B10" s="19"/>
      <c r="C10" s="12"/>
      <c r="D10" s="20" t="s">
        <v>199</v>
      </c>
      <c r="E10" s="13" t="s">
        <v>200</v>
      </c>
    </row>
    <row r="11" customFormat="false" ht="27.75" hidden="false" customHeight="true" outlineLevel="0" collapsed="false">
      <c r="A11" s="10" t="s">
        <v>201</v>
      </c>
      <c r="B11" s="19"/>
      <c r="C11" s="12" t="str">
        <f aca="false">IF(AND(B9&lt;&gt;"",B10&lt;&gt;""),B9*B10/1000,"")</f>
        <v/>
      </c>
      <c r="D11" s="20" t="s">
        <v>202</v>
      </c>
      <c r="E11" s="13" t="s">
        <v>203</v>
      </c>
    </row>
    <row r="12" customFormat="false" ht="27.75" hidden="false" customHeight="true" outlineLevel="0" collapsed="false">
      <c r="A12" s="10" t="s">
        <v>65</v>
      </c>
      <c r="B12" s="19"/>
      <c r="C12" s="12" t="s">
        <v>66</v>
      </c>
      <c r="D12" s="20" t="s">
        <v>204</v>
      </c>
      <c r="E12" s="13" t="s">
        <v>205</v>
      </c>
    </row>
    <row r="13" customFormat="false" ht="27.75" hidden="false" customHeight="true" outlineLevel="0" collapsed="false">
      <c r="A13" s="10" t="s">
        <v>69</v>
      </c>
      <c r="B13" s="19"/>
      <c r="C13" s="12" t="s">
        <v>66</v>
      </c>
      <c r="D13" s="20" t="s">
        <v>204</v>
      </c>
      <c r="E13" s="13" t="s">
        <v>206</v>
      </c>
    </row>
    <row r="14" customFormat="false" ht="27.75" hidden="false" customHeight="true" outlineLevel="0" collapsed="false">
      <c r="A14" s="10" t="s">
        <v>207</v>
      </c>
      <c r="B14" s="19"/>
      <c r="C14" s="12"/>
      <c r="D14" s="20" t="s">
        <v>208</v>
      </c>
      <c r="E14" s="13" t="s">
        <v>209</v>
      </c>
    </row>
    <row r="15" customFormat="false" ht="27.75" hidden="false" customHeight="true" outlineLevel="0" collapsed="false">
      <c r="A15" s="10" t="s">
        <v>210</v>
      </c>
      <c r="B15" s="19"/>
      <c r="C15" s="12"/>
      <c r="D15" s="20" t="s">
        <v>211</v>
      </c>
      <c r="E15" s="13" t="s">
        <v>212</v>
      </c>
    </row>
    <row r="16" customFormat="false" ht="27.75" hidden="false" customHeight="true" outlineLevel="0" collapsed="false">
      <c r="A16" s="10" t="s">
        <v>213</v>
      </c>
      <c r="B16" s="19"/>
      <c r="C16" s="12"/>
      <c r="D16" s="20" t="s">
        <v>214</v>
      </c>
      <c r="E16" s="13" t="s">
        <v>215</v>
      </c>
    </row>
    <row r="17" customFormat="false" ht="27.75" hidden="false" customHeight="true" outlineLevel="0" collapsed="false">
      <c r="A17" s="10" t="s">
        <v>216</v>
      </c>
      <c r="B17" s="19"/>
      <c r="C17" s="12" t="s">
        <v>82</v>
      </c>
      <c r="D17" s="20" t="s">
        <v>217</v>
      </c>
      <c r="E17" s="13" t="s">
        <v>218</v>
      </c>
    </row>
    <row r="18" customFormat="false" ht="27.75" hidden="false" customHeight="true" outlineLevel="0" collapsed="false">
      <c r="A18" s="10" t="s">
        <v>219</v>
      </c>
      <c r="B18" s="19"/>
      <c r="C18" s="12"/>
      <c r="D18" s="20" t="s">
        <v>220</v>
      </c>
      <c r="E18" s="13" t="s">
        <v>221</v>
      </c>
    </row>
    <row r="19" customFormat="false" ht="27.75" hidden="false" customHeight="true" outlineLevel="0" collapsed="false">
      <c r="A19" s="10" t="s">
        <v>222</v>
      </c>
      <c r="B19" s="19"/>
      <c r="C19" s="12" t="s">
        <v>66</v>
      </c>
      <c r="D19" s="20" t="s">
        <v>220</v>
      </c>
      <c r="E19" s="13" t="s">
        <v>223</v>
      </c>
    </row>
    <row r="20" customFormat="false" ht="27.75" hidden="false" customHeight="true" outlineLevel="0" collapsed="false">
      <c r="A20" s="10" t="s">
        <v>91</v>
      </c>
      <c r="B20" s="19"/>
      <c r="C20" s="12"/>
      <c r="D20" s="20" t="s">
        <v>208</v>
      </c>
      <c r="E20" s="13" t="s">
        <v>224</v>
      </c>
    </row>
    <row r="21" customFormat="false" ht="21.75" hidden="false" customHeight="true" outlineLevel="0" collapsed="false">
      <c r="A21" s="8" t="s">
        <v>225</v>
      </c>
      <c r="B21" s="8"/>
      <c r="C21" s="8"/>
      <c r="D21" s="8"/>
      <c r="E21" s="8"/>
    </row>
    <row r="22" customFormat="false" ht="27.75" hidden="false" customHeight="true" outlineLevel="0" collapsed="false">
      <c r="A22" s="10" t="s">
        <v>226</v>
      </c>
      <c r="B22" s="19"/>
      <c r="C22" s="12" t="s">
        <v>66</v>
      </c>
      <c r="D22" s="20" t="s">
        <v>227</v>
      </c>
      <c r="E22" s="13" t="s">
        <v>228</v>
      </c>
    </row>
    <row r="23" customFormat="false" ht="27.75" hidden="false" customHeight="true" outlineLevel="0" collapsed="false">
      <c r="A23" s="10" t="s">
        <v>229</v>
      </c>
      <c r="B23" s="19"/>
      <c r="C23" s="12" t="s">
        <v>66</v>
      </c>
      <c r="D23" s="20" t="s">
        <v>227</v>
      </c>
      <c r="E23" s="13"/>
    </row>
    <row r="24" customFormat="false" ht="27.75" hidden="false" customHeight="true" outlineLevel="0" collapsed="false">
      <c r="A24" s="10" t="s">
        <v>230</v>
      </c>
      <c r="B24" s="19"/>
      <c r="C24" s="12" t="s">
        <v>118</v>
      </c>
      <c r="D24" s="20" t="s">
        <v>231</v>
      </c>
      <c r="E24" s="13" t="s">
        <v>232</v>
      </c>
    </row>
    <row r="25" customFormat="false" ht="27.75" hidden="false" customHeight="true" outlineLevel="0" collapsed="false">
      <c r="A25" s="10" t="s">
        <v>233</v>
      </c>
      <c r="B25" s="19"/>
      <c r="C25" s="12" t="s">
        <v>103</v>
      </c>
      <c r="D25" s="20" t="s">
        <v>234</v>
      </c>
      <c r="E25" s="13" t="s">
        <v>235</v>
      </c>
    </row>
    <row r="26" customFormat="false" ht="27.75" hidden="false" customHeight="true" outlineLevel="0" collapsed="false">
      <c r="A26" s="10" t="s">
        <v>236</v>
      </c>
      <c r="B26" s="19"/>
      <c r="C26" s="12" t="s">
        <v>110</v>
      </c>
      <c r="D26" s="20" t="s">
        <v>237</v>
      </c>
      <c r="E26" s="13" t="s">
        <v>238</v>
      </c>
    </row>
    <row r="27" customFormat="false" ht="27.75" hidden="false" customHeight="true" outlineLevel="0" collapsed="false">
      <c r="A27" s="10" t="s">
        <v>239</v>
      </c>
      <c r="B27" s="19"/>
      <c r="C27" s="12" t="s">
        <v>110</v>
      </c>
      <c r="D27" s="20" t="s">
        <v>240</v>
      </c>
      <c r="E27" s="13" t="s">
        <v>241</v>
      </c>
    </row>
    <row r="28" customFormat="false" ht="27.75" hidden="false" customHeight="true" outlineLevel="0" collapsed="false">
      <c r="A28" s="10" t="s">
        <v>242</v>
      </c>
      <c r="B28" s="19"/>
      <c r="C28" s="12" t="s">
        <v>243</v>
      </c>
      <c r="D28" s="20" t="s">
        <v>244</v>
      </c>
      <c r="E28" s="13"/>
    </row>
    <row r="29" customFormat="false" ht="21.75" hidden="false" customHeight="true" outlineLevel="0" collapsed="false">
      <c r="A29" s="21" t="s">
        <v>245</v>
      </c>
      <c r="B29" s="21"/>
      <c r="C29" s="21"/>
      <c r="D29" s="21"/>
      <c r="E29" s="21"/>
    </row>
    <row r="30" customFormat="false" ht="31.5" hidden="false" customHeight="true" outlineLevel="0" collapsed="false">
      <c r="A30" s="15" t="s">
        <v>246</v>
      </c>
      <c r="B30" s="15"/>
      <c r="C30" s="15"/>
      <c r="D30" s="15"/>
      <c r="E30" s="15"/>
    </row>
    <row r="31" customFormat="false" ht="27.75" hidden="false" customHeight="true" outlineLevel="0" collapsed="false">
      <c r="A31" s="10" t="s">
        <v>247</v>
      </c>
      <c r="B31" s="22" t="str">
        <f aca="false">IF(AND(B22&lt;&gt;"",B23&lt;&gt;"",B23&gt;0),B22/B23,"")</f>
        <v/>
      </c>
      <c r="C31" s="12"/>
      <c r="D31" s="20" t="s">
        <v>248</v>
      </c>
      <c r="E31" s="13" t="s">
        <v>249</v>
      </c>
    </row>
    <row r="32" customFormat="false" ht="27.75" hidden="false" customHeight="true" outlineLevel="0" collapsed="false">
      <c r="A32" s="10" t="s">
        <v>250</v>
      </c>
      <c r="B32" s="22" t="str">
        <f aca="false">IF(AND(B22&lt;&gt;"",B24&lt;&gt;"",B25&lt;&gt;""),B22*(B25/100)*B24,"")</f>
        <v/>
      </c>
      <c r="C32" s="12" t="s">
        <v>110</v>
      </c>
      <c r="D32" s="20" t="s">
        <v>251</v>
      </c>
      <c r="E32" s="13" t="s">
        <v>252</v>
      </c>
    </row>
    <row r="33" customFormat="false" ht="27.75" hidden="false" customHeight="true" outlineLevel="0" collapsed="false">
      <c r="A33" s="10" t="s">
        <v>253</v>
      </c>
      <c r="B33" s="22" t="str">
        <f aca="false">IF(AND(B32&lt;&gt;"",B27&lt;&gt;"",B27&gt;0),ABS((B32-B27)/B27)*100,"")</f>
        <v/>
      </c>
      <c r="C33" s="12" t="s">
        <v>254</v>
      </c>
      <c r="D33" s="20" t="s">
        <v>255</v>
      </c>
      <c r="E33" s="13" t="s">
        <v>256</v>
      </c>
    </row>
    <row r="34" customFormat="false" ht="27.75" hidden="false" customHeight="true" outlineLevel="0" collapsed="false">
      <c r="A34" s="10" t="s">
        <v>257</v>
      </c>
      <c r="B34" s="22" t="str">
        <f aca="false">IF(B33="","Brak danych do walidacji",IF(B33&lt;=5,"✅ ZATWIERDZONY",IF(B33&lt;=10,"⚠️ WARUNKOWO","❌ ODRZUCONY — weryfikuj dane")))</f>
        <v>Brak danych do walidacji</v>
      </c>
      <c r="C34" s="12"/>
      <c r="D34" s="20" t="s">
        <v>251</v>
      </c>
      <c r="E34" s="13"/>
    </row>
    <row r="35" customFormat="false" ht="27.75" hidden="false" customHeight="true" outlineLevel="0" collapsed="false">
      <c r="A35" s="10" t="s">
        <v>258</v>
      </c>
      <c r="B35" s="22" t="str">
        <f aca="false">IF(AND(B27&lt;&gt;"",B26&lt;&gt;"",B26&gt;0),B27/B26,"")</f>
        <v/>
      </c>
      <c r="C35" s="12"/>
      <c r="D35" s="20" t="s">
        <v>248</v>
      </c>
      <c r="E35" s="13" t="s">
        <v>259</v>
      </c>
    </row>
    <row r="36" customFormat="false" ht="27.75" hidden="false" customHeight="true" outlineLevel="0" collapsed="false">
      <c r="A36" s="10" t="s">
        <v>260</v>
      </c>
      <c r="B36" s="22" t="str">
        <f aca="false">IF(AND(B35&lt;&gt;"",B31&lt;&gt;"",B31&gt;0),(B31-B35)/B31*100,"")</f>
        <v/>
      </c>
      <c r="C36" s="12" t="s">
        <v>254</v>
      </c>
      <c r="D36" s="20" t="s">
        <v>251</v>
      </c>
      <c r="E36" s="13" t="s">
        <v>261</v>
      </c>
    </row>
    <row r="37" customFormat="false" ht="27.75" hidden="false" customHeight="true" outlineLevel="0" collapsed="false">
      <c r="A37" s="10" t="s">
        <v>262</v>
      </c>
      <c r="B37" s="22" t="str">
        <f aca="false">IF(AND(B26&lt;&gt;"",B28&lt;&gt;""),B26*B28,"")</f>
        <v/>
      </c>
      <c r="C37" s="12" t="s">
        <v>263</v>
      </c>
      <c r="D37" s="20" t="s">
        <v>251</v>
      </c>
      <c r="E37" s="13"/>
    </row>
    <row r="38" customFormat="false" ht="27.75" hidden="false" customHeight="true" outlineLevel="0" collapsed="false">
      <c r="A38" s="10" t="s">
        <v>264</v>
      </c>
      <c r="B38" s="22" t="str">
        <f aca="false">IF(AND(B35&lt;&gt;"",B35&gt;0),1/B35,"")</f>
        <v/>
      </c>
      <c r="C38" s="12"/>
      <c r="D38" s="20" t="s">
        <v>251</v>
      </c>
      <c r="E38" s="13" t="s">
        <v>265</v>
      </c>
    </row>
    <row r="39" customFormat="false" ht="21.75" hidden="false" customHeight="true" outlineLevel="0" collapsed="false">
      <c r="A39" s="6" t="s">
        <v>266</v>
      </c>
      <c r="B39" s="6"/>
      <c r="C39" s="6"/>
      <c r="D39" s="6"/>
      <c r="E39" s="6"/>
    </row>
    <row r="40" customFormat="false" ht="55.5" hidden="false" customHeight="true" outlineLevel="0" collapsed="false">
      <c r="A40" s="7" t="s">
        <v>152</v>
      </c>
      <c r="B40" s="7"/>
      <c r="C40" s="7"/>
      <c r="D40" s="7"/>
      <c r="E40" s="7"/>
    </row>
    <row r="41" customFormat="false" ht="27.75" hidden="false" customHeight="true" outlineLevel="0" collapsed="false">
      <c r="A41" s="10" t="s">
        <v>267</v>
      </c>
      <c r="B41" s="19"/>
      <c r="C41" s="12" t="s">
        <v>268</v>
      </c>
      <c r="D41" s="20" t="s">
        <v>269</v>
      </c>
      <c r="E41" s="13" t="s">
        <v>270</v>
      </c>
    </row>
    <row r="42" customFormat="false" ht="27.75" hidden="false" customHeight="true" outlineLevel="0" collapsed="false">
      <c r="A42" s="10" t="s">
        <v>166</v>
      </c>
      <c r="B42" s="22" t="str">
        <f aca="false">IF(B41&lt;&gt;"",IF(B41&lt;5,"Brak obowiązku (&lt;5 t CO₂eq)",IF(B41&lt;=50,"Co 12 miesięcy (5-50 t CO₂eq)",IF(B41&lt;=500,"Co 6 miesięcy (50-500 t CO₂eq)","Co 3 miesiące (&gt;500 t CO₂eq)"))),"Brak danych — wpisz CO₂eq")</f>
        <v>Brak danych — wpisz CO₂eq</v>
      </c>
      <c r="C42" s="12"/>
      <c r="D42" s="20" t="s">
        <v>271</v>
      </c>
      <c r="E42" s="13"/>
    </row>
    <row r="43" customFormat="false" ht="27.75" hidden="false" customHeight="true" outlineLevel="0" collapsed="false">
      <c r="A43" s="10" t="s">
        <v>272</v>
      </c>
      <c r="B43" s="19"/>
      <c r="C43" s="12"/>
      <c r="D43" s="20" t="s">
        <v>273</v>
      </c>
      <c r="E43" s="13" t="s">
        <v>274</v>
      </c>
    </row>
    <row r="44" customFormat="false" ht="27.75" hidden="false" customHeight="true" outlineLevel="0" collapsed="false">
      <c r="A44" s="10" t="s">
        <v>54</v>
      </c>
      <c r="B44" s="19"/>
      <c r="C44" s="12"/>
      <c r="D44" s="20" t="s">
        <v>275</v>
      </c>
      <c r="E44" s="13" t="s">
        <v>276</v>
      </c>
    </row>
    <row r="45" customFormat="false" ht="27.75" hidden="false" customHeight="true" outlineLevel="0" collapsed="false">
      <c r="A45" s="10" t="s">
        <v>277</v>
      </c>
      <c r="B45" s="19"/>
      <c r="C45" s="12"/>
      <c r="D45" s="20" t="s">
        <v>278</v>
      </c>
      <c r="E45" s="13" t="s">
        <v>279</v>
      </c>
    </row>
    <row r="46" customFormat="false" ht="27.75" hidden="false" customHeight="true" outlineLevel="0" collapsed="false">
      <c r="A46" s="10" t="s">
        <v>280</v>
      </c>
      <c r="B46" s="22" t="str">
        <f aca="false">IF(AND(B44&lt;&gt;"",B42&lt;&gt;""),IF(ISNUMBER(FIND("12",B42)),EDATE(B44,12),IF(ISNUMBER(FIND("6",B42)),EDATE(B44,6),IF(ISNUMBER(FIND("3",B42)),EDATE(B44,3),""))),"")</f>
        <v/>
      </c>
      <c r="C46" s="12"/>
      <c r="D46" s="20" t="s">
        <v>251</v>
      </c>
      <c r="E46" s="13" t="s">
        <v>281</v>
      </c>
    </row>
    <row r="47" customFormat="false" ht="27.75" hidden="false" customHeight="true" outlineLevel="0" collapsed="false">
      <c r="A47" s="10" t="s">
        <v>282</v>
      </c>
      <c r="B47" s="19"/>
      <c r="C47" s="12"/>
      <c r="D47" s="20" t="s">
        <v>283</v>
      </c>
      <c r="E47" s="13" t="s">
        <v>276</v>
      </c>
    </row>
    <row r="48" customFormat="false" ht="27.75" hidden="false" customHeight="true" outlineLevel="0" collapsed="false">
      <c r="A48" s="10" t="s">
        <v>284</v>
      </c>
      <c r="B48" s="19"/>
      <c r="C48" s="12"/>
      <c r="D48" s="20" t="s">
        <v>285</v>
      </c>
      <c r="E48" s="13" t="s">
        <v>286</v>
      </c>
    </row>
    <row r="49" customFormat="false" ht="27.75" hidden="false" customHeight="true" outlineLevel="0" collapsed="false">
      <c r="A49" s="10" t="s">
        <v>287</v>
      </c>
      <c r="B49" s="22" t="str">
        <f aca="true">IF(B43="","❌ NIEZGODNOŚĆ — BRAK KARTY BDO",IF(B44="","❌ NIEZGODNOŚĆ — BRAK KONTROLI SZCZELNOŚCI",IF(B46&lt;TODAY(),"❌ NIEZGODNOŚĆ — TERMIN KONTROLI SZCZELNOŚCI MINĄŁ","✅ F-gaz: kontrola szczelności aktualna i karta BDO istnieje")))</f>
        <v>❌ NIEZGODNOŚĆ — BRAK KARTY BDO</v>
      </c>
      <c r="C49" s="12"/>
      <c r="D49" s="20" t="s">
        <v>288</v>
      </c>
      <c r="E49" s="13"/>
    </row>
    <row r="50" customFormat="false" ht="27.75" hidden="false" customHeight="true" outlineLevel="0" collapsed="false">
      <c r="A50" s="10" t="s">
        <v>289</v>
      </c>
      <c r="B50" s="22" t="str">
        <f aca="true">IF(B47="","❌ NIEZGODNOŚĆ — BRAK KONTROLI WG USTAWY LUB BRAK DANYCH",IF(B48="","❌ NIEZGODNOŚĆ — BRAK NUMERU PROTOKOŁU e-CR",IF(EDATE(B47,60)&lt;TODAY(),"❌ NIEZGODNOŚĆ — TERMIN KONTROLI MINĄŁ (&gt;5 LAT)","✅ Ustawa char.energ.: kontrola aktualna, protokół w rejestrze e-CR")))</f>
        <v>❌ NIEZGODNOŚĆ — BRAK KONTROLI WG USTAWY LUB BRAK DANYCH</v>
      </c>
      <c r="C50" s="12"/>
      <c r="D50" s="20" t="s">
        <v>288</v>
      </c>
      <c r="E50" s="13"/>
    </row>
    <row r="51" customFormat="false" ht="27.75" hidden="false" customHeight="true" outlineLevel="0" collapsed="false">
      <c r="A51" s="10" t="s">
        <v>290</v>
      </c>
      <c r="B51" s="19"/>
      <c r="C51" s="12"/>
      <c r="D51" s="20" t="s">
        <v>291</v>
      </c>
      <c r="E51" s="13" t="s">
        <v>292</v>
      </c>
    </row>
    <row r="52" customFormat="false" ht="13.5" hidden="false" customHeight="true" outlineLevel="0" collapsed="false">
      <c r="A52" s="17" t="s">
        <v>293</v>
      </c>
      <c r="B52" s="17"/>
      <c r="C52" s="17"/>
      <c r="D52" s="17"/>
      <c r="E52" s="17"/>
    </row>
  </sheetData>
  <mergeCells count="9">
    <mergeCell ref="A1:E1"/>
    <mergeCell ref="A2:E2"/>
    <mergeCell ref="A4:E4"/>
    <mergeCell ref="A21:E21"/>
    <mergeCell ref="A29:E29"/>
    <mergeCell ref="A30:E30"/>
    <mergeCell ref="A39:E39"/>
    <mergeCell ref="A40:E40"/>
    <mergeCell ref="A52:E5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3A5C"/>
    <pageSetUpPr fitToPage="false"/>
  </sheetPr>
  <dimension ref="A1:E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26"/>
    <col collapsed="false" customWidth="true" hidden="false" outlineLevel="0" max="5" min="5" style="0" width="24"/>
  </cols>
  <sheetData>
    <row r="1" customFormat="false" ht="42" hidden="false" customHeight="true" outlineLevel="0" collapsed="false">
      <c r="A1" s="1" t="s">
        <v>294</v>
      </c>
      <c r="B1" s="1"/>
      <c r="C1" s="1"/>
      <c r="D1" s="1"/>
      <c r="E1" s="1"/>
    </row>
    <row r="2" customFormat="false" ht="15.75" hidden="false" customHeight="true" outlineLevel="0" collapsed="false">
      <c r="A2" s="2" t="s">
        <v>295</v>
      </c>
      <c r="B2" s="2"/>
      <c r="C2" s="2"/>
      <c r="D2" s="2"/>
      <c r="E2" s="2"/>
    </row>
    <row r="3" customFormat="false" ht="19.5" hidden="false" customHeight="true" outlineLevel="0" collapsed="false">
      <c r="A3" s="3" t="s">
        <v>296</v>
      </c>
      <c r="B3" s="4"/>
      <c r="C3" s="3" t="s">
        <v>297</v>
      </c>
      <c r="D3" s="4"/>
      <c r="E3" s="3" t="s">
        <v>298</v>
      </c>
    </row>
    <row r="4" customFormat="false" ht="21.75" hidden="false" customHeight="true" outlineLevel="0" collapsed="false">
      <c r="A4" s="8" t="s">
        <v>299</v>
      </c>
      <c r="B4" s="8"/>
      <c r="C4" s="8"/>
      <c r="D4" s="8"/>
      <c r="E4" s="8"/>
    </row>
    <row r="5" customFormat="false" ht="24" hidden="false" customHeight="true" outlineLevel="0" collapsed="false">
      <c r="A5" s="23" t="s">
        <v>300</v>
      </c>
      <c r="B5" s="24" t="s">
        <v>301</v>
      </c>
      <c r="C5" s="25"/>
      <c r="D5" s="26"/>
      <c r="E5" s="27"/>
    </row>
    <row r="6" customFormat="false" ht="24" hidden="false" customHeight="true" outlineLevel="0" collapsed="false">
      <c r="A6" s="23" t="s">
        <v>302</v>
      </c>
      <c r="B6" s="24" t="s">
        <v>303</v>
      </c>
      <c r="C6" s="25"/>
      <c r="D6" s="26"/>
      <c r="E6" s="27"/>
    </row>
    <row r="7" customFormat="false" ht="24" hidden="false" customHeight="true" outlineLevel="0" collapsed="false">
      <c r="A7" s="23" t="s">
        <v>23</v>
      </c>
      <c r="B7" s="24" t="s">
        <v>304</v>
      </c>
      <c r="C7" s="25"/>
      <c r="D7" s="26"/>
      <c r="E7" s="27"/>
    </row>
    <row r="8" customFormat="false" ht="24" hidden="false" customHeight="true" outlineLevel="0" collapsed="false">
      <c r="A8" s="23" t="s">
        <v>305</v>
      </c>
      <c r="B8" s="24" t="s">
        <v>306</v>
      </c>
      <c r="C8" s="25"/>
      <c r="D8" s="26"/>
      <c r="E8" s="27"/>
    </row>
    <row r="9" customFormat="false" ht="24" hidden="false" customHeight="true" outlineLevel="0" collapsed="false">
      <c r="A9" s="23" t="s">
        <v>307</v>
      </c>
      <c r="B9" s="24" t="s">
        <v>308</v>
      </c>
      <c r="C9" s="25"/>
      <c r="D9" s="26"/>
      <c r="E9" s="27"/>
    </row>
    <row r="10" customFormat="false" ht="24" hidden="false" customHeight="true" outlineLevel="0" collapsed="false">
      <c r="A10" s="23" t="s">
        <v>309</v>
      </c>
      <c r="B10" s="24" t="s">
        <v>310</v>
      </c>
      <c r="C10" s="25"/>
      <c r="D10" s="26"/>
      <c r="E10" s="27"/>
    </row>
    <row r="11" customFormat="false" ht="24" hidden="false" customHeight="true" outlineLevel="0" collapsed="false">
      <c r="A11" s="23" t="s">
        <v>311</v>
      </c>
      <c r="B11" s="24" t="s">
        <v>312</v>
      </c>
      <c r="C11" s="25"/>
      <c r="D11" s="26"/>
      <c r="E11" s="27"/>
    </row>
    <row r="12" customFormat="false" ht="24" hidden="false" customHeight="true" outlineLevel="0" collapsed="false">
      <c r="A12" s="23" t="s">
        <v>313</v>
      </c>
      <c r="B12" s="24" t="s">
        <v>314</v>
      </c>
      <c r="C12" s="25"/>
      <c r="D12" s="26"/>
      <c r="E12" s="27"/>
    </row>
    <row r="13" customFormat="false" ht="24" hidden="false" customHeight="true" outlineLevel="0" collapsed="false">
      <c r="A13" s="23" t="s">
        <v>315</v>
      </c>
      <c r="B13" s="24" t="s">
        <v>316</v>
      </c>
      <c r="C13" s="25"/>
      <c r="D13" s="26"/>
      <c r="E13" s="27"/>
    </row>
    <row r="14" customFormat="false" ht="24" hidden="false" customHeight="true" outlineLevel="0" collapsed="false">
      <c r="A14" s="23" t="s">
        <v>219</v>
      </c>
      <c r="B14" s="24" t="s">
        <v>310</v>
      </c>
      <c r="C14" s="25"/>
      <c r="D14" s="26"/>
      <c r="E14" s="27"/>
    </row>
    <row r="15" customFormat="false" ht="21.75" hidden="false" customHeight="true" outlineLevel="0" collapsed="false">
      <c r="A15" s="18" t="s">
        <v>317</v>
      </c>
      <c r="B15" s="18"/>
      <c r="C15" s="18"/>
      <c r="D15" s="18"/>
      <c r="E15" s="18"/>
    </row>
    <row r="16" customFormat="false" ht="18" hidden="false" customHeight="true" outlineLevel="0" collapsed="false">
      <c r="A16" s="28" t="s">
        <v>318</v>
      </c>
    </row>
    <row r="17" customFormat="false" ht="15" hidden="false" customHeight="false" outlineLevel="0" collapsed="false">
      <c r="B17" s="28" t="s">
        <v>181</v>
      </c>
    </row>
    <row r="18" customFormat="false" ht="15" hidden="false" customHeight="false" outlineLevel="0" collapsed="false">
      <c r="C18" s="28" t="s">
        <v>319</v>
      </c>
    </row>
    <row r="19" customFormat="false" ht="15" hidden="false" customHeight="false" outlineLevel="0" collapsed="false">
      <c r="D19" s="28" t="s">
        <v>320</v>
      </c>
    </row>
    <row r="20" customFormat="false" ht="15" hidden="false" customHeight="false" outlineLevel="0" collapsed="false">
      <c r="E20" s="28" t="s">
        <v>321</v>
      </c>
    </row>
    <row r="21" customFormat="false" ht="25.5" hidden="false" customHeight="true" outlineLevel="0" collapsed="false">
      <c r="A21" s="29" t="s">
        <v>322</v>
      </c>
      <c r="B21" s="26" t="s">
        <v>310</v>
      </c>
      <c r="C21" s="25"/>
      <c r="D21" s="27" t="s">
        <v>323</v>
      </c>
      <c r="E21" s="30" t="s">
        <v>324</v>
      </c>
    </row>
    <row r="22" customFormat="false" ht="25.5" hidden="false" customHeight="true" outlineLevel="0" collapsed="false">
      <c r="A22" s="29" t="s">
        <v>325</v>
      </c>
      <c r="B22" s="26" t="s">
        <v>326</v>
      </c>
      <c r="C22" s="25"/>
      <c r="D22" s="27" t="s">
        <v>327</v>
      </c>
      <c r="E22" s="30" t="s">
        <v>324</v>
      </c>
    </row>
    <row r="23" customFormat="false" ht="25.5" hidden="false" customHeight="true" outlineLevel="0" collapsed="false">
      <c r="A23" s="29" t="s">
        <v>328</v>
      </c>
      <c r="B23" s="26" t="s">
        <v>310</v>
      </c>
      <c r="C23" s="25"/>
      <c r="D23" s="27" t="s">
        <v>329</v>
      </c>
      <c r="E23" s="30" t="s">
        <v>324</v>
      </c>
    </row>
    <row r="24" customFormat="false" ht="25.5" hidden="false" customHeight="true" outlineLevel="0" collapsed="false">
      <c r="A24" s="29" t="s">
        <v>330</v>
      </c>
      <c r="B24" s="26" t="s">
        <v>326</v>
      </c>
      <c r="C24" s="25" t="s">
        <v>254</v>
      </c>
      <c r="D24" s="27" t="s">
        <v>331</v>
      </c>
      <c r="E24" s="30" t="s">
        <v>324</v>
      </c>
    </row>
    <row r="25" customFormat="false" ht="25.5" hidden="false" customHeight="true" outlineLevel="0" collapsed="false">
      <c r="A25" s="29" t="s">
        <v>332</v>
      </c>
      <c r="B25" s="26" t="s">
        <v>333</v>
      </c>
      <c r="C25" s="25" t="s">
        <v>268</v>
      </c>
      <c r="D25" s="27" t="s">
        <v>334</v>
      </c>
      <c r="E25" s="30" t="s">
        <v>324</v>
      </c>
    </row>
    <row r="26" customFormat="false" ht="25.5" hidden="false" customHeight="true" outlineLevel="0" collapsed="false">
      <c r="A26" s="29" t="s">
        <v>335</v>
      </c>
      <c r="B26" s="26" t="s">
        <v>326</v>
      </c>
      <c r="C26" s="25" t="s">
        <v>254</v>
      </c>
      <c r="D26" s="27" t="s">
        <v>336</v>
      </c>
      <c r="E26" s="30" t="s">
        <v>324</v>
      </c>
    </row>
    <row r="27" customFormat="false" ht="25.5" hidden="false" customHeight="true" outlineLevel="0" collapsed="false">
      <c r="A27" s="29" t="s">
        <v>337</v>
      </c>
      <c r="B27" s="26" t="s">
        <v>326</v>
      </c>
      <c r="C27" s="25" t="s">
        <v>263</v>
      </c>
      <c r="D27" s="27"/>
      <c r="E27" s="30" t="s">
        <v>324</v>
      </c>
    </row>
    <row r="28" customFormat="false" ht="25.5" hidden="false" customHeight="true" outlineLevel="0" collapsed="false">
      <c r="A28" s="29" t="s">
        <v>338</v>
      </c>
      <c r="B28" s="26" t="s">
        <v>326</v>
      </c>
      <c r="C28" s="25"/>
      <c r="D28" s="27" t="s">
        <v>339</v>
      </c>
      <c r="E28" s="30" t="s">
        <v>324</v>
      </c>
    </row>
    <row r="29" customFormat="false" ht="21.75" hidden="false" customHeight="true" outlineLevel="0" collapsed="false">
      <c r="A29" s="6" t="s">
        <v>340</v>
      </c>
      <c r="B29" s="6"/>
      <c r="C29" s="6"/>
      <c r="D29" s="6"/>
      <c r="E29" s="6"/>
    </row>
    <row r="30" customFormat="false" ht="18" hidden="false" customHeight="true" outlineLevel="0" collapsed="false">
      <c r="A30" s="31" t="s">
        <v>341</v>
      </c>
    </row>
    <row r="31" customFormat="false" ht="15" hidden="false" customHeight="false" outlineLevel="0" collapsed="false">
      <c r="B31" s="31" t="s">
        <v>342</v>
      </c>
    </row>
    <row r="32" customFormat="false" ht="15" hidden="false" customHeight="false" outlineLevel="0" collapsed="false">
      <c r="C32" s="31" t="s">
        <v>343</v>
      </c>
    </row>
    <row r="33" customFormat="false" ht="15" hidden="false" customHeight="false" outlineLevel="0" collapsed="false">
      <c r="D33" s="31" t="s">
        <v>344</v>
      </c>
    </row>
    <row r="34" customFormat="false" ht="15" hidden="false" customHeight="false" outlineLevel="0" collapsed="false">
      <c r="E34" s="31"/>
    </row>
    <row r="35" customFormat="false" ht="25.5" hidden="false" customHeight="true" outlineLevel="0" collapsed="false">
      <c r="A35" s="23" t="s">
        <v>345</v>
      </c>
      <c r="B35" s="32" t="s">
        <v>333</v>
      </c>
      <c r="C35" s="33" t="s">
        <v>346</v>
      </c>
      <c r="D35" s="27" t="s">
        <v>347</v>
      </c>
      <c r="E35" s="34"/>
    </row>
    <row r="36" customFormat="false" ht="25.5" hidden="false" customHeight="true" outlineLevel="0" collapsed="false">
      <c r="A36" s="23" t="s">
        <v>348</v>
      </c>
      <c r="B36" s="32" t="s">
        <v>349</v>
      </c>
      <c r="C36" s="33" t="s">
        <v>350</v>
      </c>
      <c r="D36" s="27" t="s">
        <v>351</v>
      </c>
      <c r="E36" s="34"/>
    </row>
    <row r="37" customFormat="false" ht="25.5" hidden="false" customHeight="true" outlineLevel="0" collapsed="false">
      <c r="A37" s="23" t="s">
        <v>352</v>
      </c>
      <c r="B37" s="32" t="s">
        <v>333</v>
      </c>
      <c r="C37" s="34"/>
      <c r="D37" s="27" t="s">
        <v>353</v>
      </c>
      <c r="E37" s="34"/>
    </row>
    <row r="38" customFormat="false" ht="25.5" hidden="false" customHeight="true" outlineLevel="0" collapsed="false">
      <c r="A38" s="23" t="s">
        <v>354</v>
      </c>
      <c r="B38" s="32" t="s">
        <v>349</v>
      </c>
      <c r="C38" s="33" t="s">
        <v>355</v>
      </c>
      <c r="D38" s="27" t="s">
        <v>356</v>
      </c>
      <c r="E38" s="34"/>
    </row>
    <row r="39" customFormat="false" ht="25.5" hidden="false" customHeight="true" outlineLevel="0" collapsed="false">
      <c r="A39" s="23" t="s">
        <v>357</v>
      </c>
      <c r="B39" s="32" t="s">
        <v>358</v>
      </c>
      <c r="C39" s="34"/>
      <c r="D39" s="27" t="s">
        <v>359</v>
      </c>
      <c r="E39" s="34"/>
    </row>
    <row r="40" customFormat="false" ht="25.5" hidden="false" customHeight="true" outlineLevel="0" collapsed="false">
      <c r="A40" s="23" t="s">
        <v>360</v>
      </c>
      <c r="B40" s="32" t="s">
        <v>361</v>
      </c>
      <c r="C40" s="34"/>
      <c r="D40" s="27" t="s">
        <v>362</v>
      </c>
      <c r="E40" s="34"/>
    </row>
    <row r="41" customFormat="false" ht="25.5" hidden="false" customHeight="true" outlineLevel="0" collapsed="false">
      <c r="A41" s="23" t="s">
        <v>363</v>
      </c>
      <c r="B41" s="32" t="s">
        <v>310</v>
      </c>
      <c r="C41" s="34"/>
      <c r="D41" s="27" t="s">
        <v>364</v>
      </c>
      <c r="E41" s="34"/>
    </row>
    <row r="42" customFormat="false" ht="25.5" hidden="false" customHeight="true" outlineLevel="0" collapsed="false">
      <c r="A42" s="23" t="s">
        <v>365</v>
      </c>
      <c r="B42" s="32" t="s">
        <v>366</v>
      </c>
      <c r="C42" s="34"/>
      <c r="D42" s="27" t="s">
        <v>367</v>
      </c>
      <c r="E42" s="34"/>
    </row>
    <row r="43" customFormat="false" ht="21.75" hidden="false" customHeight="true" outlineLevel="0" collapsed="false">
      <c r="A43" s="8" t="s">
        <v>368</v>
      </c>
      <c r="B43" s="8"/>
      <c r="C43" s="8"/>
      <c r="D43" s="8"/>
      <c r="E43" s="8"/>
    </row>
    <row r="44" customFormat="false" ht="24" hidden="false" customHeight="true" outlineLevel="0" collapsed="false">
      <c r="A44" s="23" t="s">
        <v>369</v>
      </c>
      <c r="B44" s="24" t="s">
        <v>370</v>
      </c>
      <c r="C44" s="25"/>
      <c r="D44" s="26"/>
      <c r="E44" s="27"/>
    </row>
    <row r="45" customFormat="false" ht="24" hidden="false" customHeight="true" outlineLevel="0" collapsed="false">
      <c r="A45" s="23" t="s">
        <v>371</v>
      </c>
      <c r="B45" s="24" t="s">
        <v>370</v>
      </c>
      <c r="C45" s="25"/>
      <c r="D45" s="26"/>
      <c r="E45" s="27"/>
    </row>
    <row r="46" customFormat="false" ht="24" hidden="false" customHeight="true" outlineLevel="0" collapsed="false">
      <c r="A46" s="23" t="s">
        <v>372</v>
      </c>
      <c r="B46" s="24" t="s">
        <v>370</v>
      </c>
      <c r="C46" s="25"/>
      <c r="D46" s="26"/>
      <c r="E46" s="27"/>
    </row>
    <row r="47" customFormat="false" ht="24" hidden="false" customHeight="true" outlineLevel="0" collapsed="false">
      <c r="A47" s="23" t="s">
        <v>373</v>
      </c>
      <c r="B47" s="24" t="s">
        <v>370</v>
      </c>
      <c r="C47" s="25"/>
      <c r="D47" s="26"/>
      <c r="E47" s="27"/>
    </row>
    <row r="48" customFormat="false" ht="24" hidden="false" customHeight="true" outlineLevel="0" collapsed="false">
      <c r="A48" s="23" t="s">
        <v>374</v>
      </c>
      <c r="B48" s="24" t="s">
        <v>370</v>
      </c>
      <c r="C48" s="25"/>
      <c r="D48" s="26"/>
      <c r="E48" s="27"/>
    </row>
    <row r="49" customFormat="false" ht="24" hidden="false" customHeight="true" outlineLevel="0" collapsed="false">
      <c r="A49" s="23" t="s">
        <v>375</v>
      </c>
      <c r="B49" s="24" t="s">
        <v>370</v>
      </c>
      <c r="C49" s="25"/>
      <c r="D49" s="26"/>
      <c r="E49" s="27"/>
    </row>
    <row r="50" customFormat="false" ht="21.75" hidden="false" customHeight="true" outlineLevel="0" collapsed="false">
      <c r="A50" s="8" t="s">
        <v>376</v>
      </c>
      <c r="B50" s="8"/>
      <c r="C50" s="8"/>
      <c r="D50" s="8"/>
      <c r="E50" s="8"/>
    </row>
    <row r="51" customFormat="false" ht="18" hidden="false" customHeight="true" outlineLevel="0" collapsed="false">
      <c r="A51" s="3" t="s">
        <v>377</v>
      </c>
      <c r="B51" s="35" t="s">
        <v>378</v>
      </c>
      <c r="C51" s="36" t="s">
        <v>379</v>
      </c>
      <c r="D51" s="35" t="s">
        <v>380</v>
      </c>
      <c r="E51" s="37"/>
    </row>
    <row r="52" customFormat="false" ht="18" hidden="false" customHeight="true" outlineLevel="0" collapsed="false">
      <c r="A52" s="38" t="s">
        <v>381</v>
      </c>
      <c r="B52" s="35" t="s">
        <v>378</v>
      </c>
      <c r="C52" s="36" t="s">
        <v>379</v>
      </c>
      <c r="D52" s="35" t="s">
        <v>380</v>
      </c>
      <c r="E52" s="37"/>
    </row>
    <row r="53" customFormat="false" ht="18" hidden="false" customHeight="true" outlineLevel="0" collapsed="false">
      <c r="A53" s="38" t="s">
        <v>382</v>
      </c>
      <c r="B53" s="35" t="s">
        <v>378</v>
      </c>
      <c r="C53" s="36" t="s">
        <v>379</v>
      </c>
      <c r="D53" s="35" t="s">
        <v>380</v>
      </c>
      <c r="E53" s="37"/>
    </row>
    <row r="54" customFormat="false" ht="13.5" hidden="false" customHeight="true" outlineLevel="0" collapsed="false">
      <c r="A54" s="17" t="s">
        <v>383</v>
      </c>
      <c r="B54" s="17"/>
      <c r="C54" s="17"/>
      <c r="D54" s="17"/>
      <c r="E54" s="17"/>
    </row>
  </sheetData>
  <mergeCells count="8">
    <mergeCell ref="A1:E1"/>
    <mergeCell ref="A2:E2"/>
    <mergeCell ref="A4:E4"/>
    <mergeCell ref="A15:E15"/>
    <mergeCell ref="A29:E29"/>
    <mergeCell ref="A43:E43"/>
    <mergeCell ref="A50:E50"/>
    <mergeCell ref="A54:E5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7A6E"/>
    <pageSetUpPr fitToPage="false"/>
  </sheetPr>
  <dimension ref="A1:E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5"/>
  </cols>
  <sheetData>
    <row r="1" customFormat="false" ht="42" hidden="false" customHeight="true" outlineLevel="0" collapsed="false">
      <c r="A1" s="1" t="s">
        <v>384</v>
      </c>
      <c r="B1" s="1"/>
      <c r="C1" s="1"/>
      <c r="D1" s="1"/>
      <c r="E1" s="1"/>
    </row>
    <row r="2" customFormat="false" ht="15.75" hidden="false" customHeight="true" outlineLevel="0" collapsed="false">
      <c r="A2" s="2" t="s">
        <v>385</v>
      </c>
      <c r="B2" s="2"/>
      <c r="C2" s="2"/>
      <c r="D2" s="2"/>
      <c r="E2" s="2"/>
    </row>
    <row r="3" customFormat="false" ht="18" hidden="false" customHeight="true" outlineLevel="0" collapsed="false">
      <c r="A3" s="39" t="s">
        <v>386</v>
      </c>
    </row>
    <row r="4" customFormat="false" ht="13.5" hidden="false" customHeight="true" outlineLevel="0" collapsed="false">
      <c r="A4" s="40" t="s">
        <v>387</v>
      </c>
    </row>
    <row r="5" customFormat="false" ht="15" hidden="false" customHeight="true" outlineLevel="0" collapsed="false">
      <c r="A5" s="41" t="s">
        <v>388</v>
      </c>
    </row>
    <row r="6" customFormat="false" ht="15" hidden="false" customHeight="true" outlineLevel="0" collapsed="false">
      <c r="A6" s="41" t="s">
        <v>389</v>
      </c>
    </row>
    <row r="7" customFormat="false" ht="15" hidden="false" customHeight="true" outlineLevel="0" collapsed="false">
      <c r="A7" s="42"/>
    </row>
    <row r="8" customFormat="false" ht="15" hidden="false" customHeight="true" outlineLevel="0" collapsed="false">
      <c r="A8" s="43" t="s">
        <v>390</v>
      </c>
    </row>
    <row r="9" customFormat="false" ht="15" hidden="false" customHeight="true" outlineLevel="0" collapsed="false">
      <c r="A9" s="41" t="s">
        <v>391</v>
      </c>
    </row>
    <row r="10" customFormat="false" ht="15" hidden="false" customHeight="true" outlineLevel="0" collapsed="false">
      <c r="A10" s="41" t="s">
        <v>392</v>
      </c>
    </row>
    <row r="11" customFormat="false" ht="15" hidden="false" customHeight="true" outlineLevel="0" collapsed="false">
      <c r="A11" s="41" t="s">
        <v>393</v>
      </c>
    </row>
    <row r="12" customFormat="false" ht="15" hidden="false" customHeight="true" outlineLevel="0" collapsed="false">
      <c r="A12" s="42"/>
    </row>
    <row r="13" customFormat="false" ht="15" hidden="false" customHeight="true" outlineLevel="0" collapsed="false">
      <c r="A13" s="43" t="s">
        <v>394</v>
      </c>
    </row>
    <row r="14" customFormat="false" ht="15" hidden="false" customHeight="true" outlineLevel="0" collapsed="false">
      <c r="A14" s="41" t="s">
        <v>395</v>
      </c>
    </row>
    <row r="15" customFormat="false" ht="15" hidden="false" customHeight="true" outlineLevel="0" collapsed="false">
      <c r="A15" s="42"/>
    </row>
    <row r="16" customFormat="false" ht="15" hidden="false" customHeight="true" outlineLevel="0" collapsed="false">
      <c r="A16" s="43" t="s">
        <v>396</v>
      </c>
    </row>
    <row r="17" customFormat="false" ht="15" hidden="false" customHeight="true" outlineLevel="0" collapsed="false">
      <c r="A17" s="41" t="s">
        <v>397</v>
      </c>
    </row>
    <row r="18" customFormat="false" ht="15" hidden="false" customHeight="true" outlineLevel="0" collapsed="false">
      <c r="A18" s="41" t="s">
        <v>398</v>
      </c>
    </row>
    <row r="19" customFormat="false" ht="15" hidden="false" customHeight="true" outlineLevel="0" collapsed="false">
      <c r="A19" s="41" t="s">
        <v>399</v>
      </c>
    </row>
    <row r="20" customFormat="false" ht="15" hidden="false" customHeight="true" outlineLevel="0" collapsed="false">
      <c r="A20" s="41" t="s">
        <v>400</v>
      </c>
    </row>
    <row r="21" customFormat="false" ht="15" hidden="false" customHeight="true" outlineLevel="0" collapsed="false">
      <c r="A21" s="41" t="s">
        <v>401</v>
      </c>
    </row>
    <row r="22" customFormat="false" ht="15" hidden="false" customHeight="true" outlineLevel="0" collapsed="false">
      <c r="A22" s="41" t="s">
        <v>402</v>
      </c>
    </row>
    <row r="23" customFormat="false" ht="15" hidden="false" customHeight="true" outlineLevel="0" collapsed="false">
      <c r="A23" s="41" t="s">
        <v>403</v>
      </c>
    </row>
    <row r="24" customFormat="false" ht="15" hidden="false" customHeight="true" outlineLevel="0" collapsed="false">
      <c r="A24" s="42"/>
    </row>
    <row r="25" customFormat="false" ht="15" hidden="false" customHeight="true" outlineLevel="0" collapsed="false">
      <c r="A25" s="43" t="s">
        <v>404</v>
      </c>
    </row>
    <row r="26" customFormat="false" ht="15" hidden="false" customHeight="true" outlineLevel="0" collapsed="false">
      <c r="A26" s="41" t="s">
        <v>405</v>
      </c>
    </row>
    <row r="27" customFormat="false" ht="15" hidden="false" customHeight="true" outlineLevel="0" collapsed="false">
      <c r="A27" s="41" t="s">
        <v>406</v>
      </c>
    </row>
    <row r="28" customFormat="false" ht="15" hidden="false" customHeight="true" outlineLevel="0" collapsed="false">
      <c r="A28" s="41" t="s">
        <v>407</v>
      </c>
    </row>
    <row r="29" customFormat="false" ht="15" hidden="false" customHeight="true" outlineLevel="0" collapsed="false">
      <c r="A29" s="42"/>
    </row>
    <row r="30" customFormat="false" ht="15" hidden="false" customHeight="true" outlineLevel="0" collapsed="false">
      <c r="A30" s="43" t="s">
        <v>408</v>
      </c>
    </row>
    <row r="31" customFormat="false" ht="15" hidden="false" customHeight="true" outlineLevel="0" collapsed="false">
      <c r="A31" s="41" t="s">
        <v>409</v>
      </c>
    </row>
    <row r="32" customFormat="false" ht="15" hidden="false" customHeight="true" outlineLevel="0" collapsed="false">
      <c r="A32" s="41" t="s">
        <v>410</v>
      </c>
    </row>
    <row r="33" customFormat="false" ht="15" hidden="false" customHeight="true" outlineLevel="0" collapsed="false">
      <c r="A33" s="41" t="s">
        <v>411</v>
      </c>
    </row>
    <row r="34" customFormat="false" ht="15" hidden="false" customHeight="true" outlineLevel="0" collapsed="false">
      <c r="A34" s="42"/>
    </row>
    <row r="35" customFormat="false" ht="15" hidden="false" customHeight="true" outlineLevel="0" collapsed="false">
      <c r="A35" s="43" t="s">
        <v>412</v>
      </c>
    </row>
    <row r="36" customFormat="false" ht="15" hidden="false" customHeight="true" outlineLevel="0" collapsed="false">
      <c r="A36" s="41" t="s">
        <v>413</v>
      </c>
    </row>
    <row r="37" customFormat="false" ht="15" hidden="false" customHeight="true" outlineLevel="0" collapsed="false">
      <c r="A37" s="41" t="s">
        <v>414</v>
      </c>
    </row>
    <row r="38" customFormat="false" ht="15" hidden="false" customHeight="true" outlineLevel="0" collapsed="false">
      <c r="A38" s="42"/>
    </row>
    <row r="39" customFormat="false" ht="15" hidden="false" customHeight="true" outlineLevel="0" collapsed="false">
      <c r="A39" s="43" t="s">
        <v>415</v>
      </c>
    </row>
    <row r="40" customFormat="false" ht="15" hidden="false" customHeight="true" outlineLevel="0" collapsed="false">
      <c r="A40" s="41" t="s">
        <v>416</v>
      </c>
    </row>
    <row r="41" customFormat="false" ht="15" hidden="false" customHeight="true" outlineLevel="0" collapsed="false">
      <c r="A41" s="41" t="s">
        <v>417</v>
      </c>
    </row>
    <row r="42" customFormat="false" ht="15" hidden="false" customHeight="true" outlineLevel="0" collapsed="false">
      <c r="A42" s="41" t="s">
        <v>418</v>
      </c>
    </row>
    <row r="43" customFormat="false" ht="15" hidden="false" customHeight="true" outlineLevel="0" collapsed="false">
      <c r="A43" s="41" t="s">
        <v>419</v>
      </c>
    </row>
    <row r="44" customFormat="false" ht="15" hidden="false" customHeight="true" outlineLevel="0" collapsed="false">
      <c r="A44" s="41" t="s">
        <v>420</v>
      </c>
    </row>
    <row r="45" customFormat="false" ht="15" hidden="false" customHeight="true" outlineLevel="0" collapsed="false">
      <c r="A45" s="41" t="s">
        <v>421</v>
      </c>
    </row>
    <row r="46" customFormat="false" ht="15" hidden="false" customHeight="true" outlineLevel="0" collapsed="false">
      <c r="A46" s="41" t="s">
        <v>422</v>
      </c>
    </row>
    <row r="47" customFormat="false" ht="15" hidden="false" customHeight="true" outlineLevel="0" collapsed="false">
      <c r="A47" s="42"/>
    </row>
    <row r="48" customFormat="false" ht="15" hidden="false" customHeight="true" outlineLevel="0" collapsed="false">
      <c r="A48" s="44" t="s">
        <v>423</v>
      </c>
    </row>
    <row r="49" customFormat="false" ht="15" hidden="false" customHeight="true" outlineLevel="0" collapsed="false">
      <c r="A49" s="42"/>
    </row>
    <row r="50" customFormat="false" ht="15" hidden="false" customHeight="true" outlineLevel="0" collapsed="false">
      <c r="A50" s="43" t="s">
        <v>424</v>
      </c>
    </row>
    <row r="51" customFormat="false" ht="15" hidden="false" customHeight="true" outlineLevel="0" collapsed="false">
      <c r="A51" s="41" t="s">
        <v>425</v>
      </c>
    </row>
    <row r="52" customFormat="false" ht="15" hidden="false" customHeight="true" outlineLevel="0" collapsed="false">
      <c r="A52" s="41" t="s">
        <v>426</v>
      </c>
    </row>
    <row r="53" customFormat="false" ht="15" hidden="false" customHeight="true" outlineLevel="0" collapsed="false">
      <c r="A53" s="41" t="s">
        <v>427</v>
      </c>
    </row>
    <row r="54" customFormat="false" ht="15" hidden="false" customHeight="true" outlineLevel="0" collapsed="false">
      <c r="A54" s="41" t="s">
        <v>428</v>
      </c>
    </row>
    <row r="55" customFormat="false" ht="15" hidden="false" customHeight="true" outlineLevel="0" collapsed="false">
      <c r="A55" s="41" t="s">
        <v>429</v>
      </c>
    </row>
    <row r="56" customFormat="false" ht="15" hidden="false" customHeight="true" outlineLevel="0" collapsed="false">
      <c r="A56" s="41" t="s">
        <v>430</v>
      </c>
    </row>
    <row r="57" customFormat="false" ht="15" hidden="false" customHeight="true" outlineLevel="0" collapsed="false">
      <c r="A57" s="41" t="s">
        <v>431</v>
      </c>
    </row>
    <row r="58" customFormat="false" ht="15" hidden="false" customHeight="true" outlineLevel="0" collapsed="false">
      <c r="A58" s="41" t="s">
        <v>432</v>
      </c>
    </row>
    <row r="59" customFormat="false" ht="15" hidden="false" customHeight="true" outlineLevel="0" collapsed="false">
      <c r="A59" s="41" t="s">
        <v>433</v>
      </c>
    </row>
    <row r="60" customFormat="false" ht="15" hidden="false" customHeight="true" outlineLevel="0" collapsed="false">
      <c r="A60" s="41" t="s">
        <v>434</v>
      </c>
    </row>
    <row r="61" customFormat="false" ht="15" hidden="false" customHeight="true" outlineLevel="0" collapsed="false">
      <c r="A61" s="41" t="s">
        <v>435</v>
      </c>
    </row>
    <row r="62" customFormat="false" ht="15" hidden="false" customHeight="true" outlineLevel="0" collapsed="false">
      <c r="A62" s="41" t="s">
        <v>436</v>
      </c>
    </row>
    <row r="63" customFormat="false" ht="15" hidden="false" customHeight="true" outlineLevel="0" collapsed="false">
      <c r="A63" s="41" t="s">
        <v>437</v>
      </c>
    </row>
    <row r="64" customFormat="false" ht="15" hidden="false" customHeight="true" outlineLevel="0" collapsed="false">
      <c r="A64" s="41" t="s">
        <v>438</v>
      </c>
    </row>
    <row r="65" customFormat="false" ht="15" hidden="false" customHeight="true" outlineLevel="0" collapsed="false">
      <c r="A65" s="41" t="s">
        <v>439</v>
      </c>
    </row>
    <row r="66" customFormat="false" ht="15" hidden="false" customHeight="true" outlineLevel="0" collapsed="false">
      <c r="A66" s="41" t="s">
        <v>440</v>
      </c>
    </row>
    <row r="67" customFormat="false" ht="15" hidden="false" customHeight="true" outlineLevel="0" collapsed="false">
      <c r="A67" s="41" t="s">
        <v>441</v>
      </c>
    </row>
    <row r="68" customFormat="false" ht="15" hidden="false" customHeight="true" outlineLevel="0" collapsed="false">
      <c r="A68" s="41" t="s">
        <v>442</v>
      </c>
    </row>
    <row r="69" customFormat="false" ht="15" hidden="false" customHeight="true" outlineLevel="0" collapsed="false">
      <c r="A69" s="41" t="s">
        <v>443</v>
      </c>
    </row>
    <row r="70" customFormat="false" ht="15" hidden="false" customHeight="true" outlineLevel="0" collapsed="false">
      <c r="A70" s="41" t="s">
        <v>444</v>
      </c>
    </row>
    <row r="71" customFormat="false" ht="15" hidden="false" customHeight="false" outlineLevel="0" collapsed="false">
      <c r="A71" s="45" t="s">
        <v>445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2026-04-15T12:44:08Z</dcterms:created>
  <dc:creator>openpyxl</dc:creator>
  <dc:description/>
  <dc:language>en-US</dc:language>
  <cp:lastModifiedBy/>
  <dcterms:modified xsi:type="dcterms:W3CDTF">2026-04-15T12:44:08Z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