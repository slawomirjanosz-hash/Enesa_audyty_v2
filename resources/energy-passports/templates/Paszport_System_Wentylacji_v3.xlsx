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<sst xmlns="http://schemas.openxmlformats.org/spreadsheetml/2006/main" count="528" uniqueCount="451">
  <si>
    <t xml:space="preserve">ENESA  ·  PASZPORT SYSTEMU WENTYLACJI  ·  A-EnMS-VAC-SYS-01  ·  ANKIETA ETAP 1</t>
  </si>
  <si>
    <t xml:space="preserve">Wypełnia: Energy Manager lub Konsultant ENESA  ·  Pola ŻÓŁTE = wpisz  ·  Przegląd całości systemu wentylacji zakładu</t>
  </si>
  <si>
    <t xml:space="preserve">ID SYSTEMU / ZAKŁAD:</t>
  </si>
  <si>
    <t xml:space="preserve">Data przeglądu:</t>
  </si>
  <si>
    <t xml:space="preserve">Konsultant / EM: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</si>
  <si>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</si>
  <si>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</si>
  <si>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</si>
  <si>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</si>
  <si>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</si>
  <si>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BLOK A — INWENTARYZACJA I TOPOGRAFIA SYSTEMU WENTYLACJI</t>
  </si>
  <si>
    <t xml:space="preserve">  ★ CEL TEGO BLOKU: Zidentyfikować WSZYSTKIE systemy wentylacji w zakładzie jako całość. Każdy system AHU/wentylator ma swój osobny Paszport Urządzenia (A-EnMS-VAC-01). Ten paszport agreguje je w jeden obraz systemu wentylacji zakładu.</t>
  </si>
  <si>
    <t xml:space="preserve">A-01</t>
  </si>
  <si>
    <t xml:space="preserve">Łączna liczba central wentylacyjnych AHU w zakładzie</t>
  </si>
  <si>
    <t xml:space="preserve">szt.</t>
  </si>
  <si>
    <t xml:space="preserve">Policz wszystkie centrale — produkcyjne, biurowe, socjalne, technologiczne</t>
  </si>
  <si>
    <t xml:space="preserve">A-02</t>
  </si>
  <si>
    <t xml:space="preserve">Łączna liczba samodzielnych wentylatorów (bez AHU)</t>
  </si>
  <si>
    <t xml:space="preserve">Wentylatory dachowe, kanałowe, ścienne — bez centrali. Szacunek jeśli nie ma inwentarza</t>
  </si>
  <si>
    <t xml:space="preserve">A-03</t>
  </si>
  <si>
    <t xml:space="preserve">Łączna moc zainstalowanych wentylatorów we wszystkich AHU [kW]</t>
  </si>
  <si>
    <t xml:space="preserve">kW</t>
  </si>
  <si>
    <t xml:space="preserve">Suma P_nom ze wszystkich Paszportów Urządzeń A-EnMS-VAC-01. Jeśli brak — szacunek z DTR</t>
  </si>
  <si>
    <t xml:space="preserve">A-04</t>
  </si>
  <si>
    <t xml:space="preserve">Łączna moc samodzielnych wentylatorów [kW]</t>
  </si>
  <si>
    <t xml:space="preserve">Suma mocy nominalnych silników wentylatorów bez AHU</t>
  </si>
  <si>
    <t xml:space="preserve">A-05</t>
  </si>
  <si>
    <t xml:space="preserve">Łączna obsługiwana powierzchnia [m²]</t>
  </si>
  <si>
    <t xml:space="preserve">m²</t>
  </si>
  <si>
    <t xml:space="preserve">Suma powierzchni stref obsługiwanych przez wszystkie systemy wentylacji</t>
  </si>
  <si>
    <t xml:space="preserve">A-06</t>
  </si>
  <si>
    <t xml:space="preserve">Jaki % powierzchni zakładu ma wentylację mechaniczną (vs grawitacyjna/brak)?</t>
  </si>
  <si>
    <t xml:space="preserve">%</t>
  </si>
  <si>
    <t xml:space="preserve">Szacunek: np. hale produkcyjne bez wentylacji mechanicznej, tylko wywietrzniki dachowe</t>
  </si>
  <si>
    <t xml:space="preserve">A-07</t>
  </si>
  <si>
    <t xml:space="preserve">Rok budowy głównych systemów wentylacji (najstarszy / najnowszy)</t>
  </si>
  <si>
    <t xml:space="preserve">rok</t>
  </si>
  <si>
    <t xml:space="preserve">np. 1995 / 2018. Wiek systemu → ocena stanu technicznego i potencjału modernizacji</t>
  </si>
  <si>
    <t xml:space="preserve">A-08</t>
  </si>
  <si>
    <t xml:space="preserve">Czy zakład posiada aktualny schemat / projekt instalacji wentylacji?</t>
  </si>
  <si>
    <t xml:space="preserve">TAK — gdzie przechowywany / NIE / CZĘŚCIOWY. Brak schematu = audyt wymaga inwentaryzacji na miejscu</t>
  </si>
  <si>
    <t xml:space="preserve">  BLOK B — ZESTAWIENIE SYSTEMÓW WENTYLACJI (SEU i nie-SEU)</t>
  </si>
  <si>
    <t xml:space="preserve">  Dla każdego zidentyfikowanego systemu wentylacji wpisz dane w wierszach poniżej. Kolumna C = ID systemu z Paszportu Urządzenia (A-EnMS-VAC-01). Możesz dodać wiersze — skopiuj formatowanie.</t>
  </si>
  <si>
    <t xml:space="preserve">ID QR / kod
systemu</t>
  </si>
  <si>
    <t xml:space="preserve">Nazwa systemu / strefy obsługiwanej</t>
  </si>
  <si>
    <t xml:space="preserve">Typ
(AHU/Went.)</t>
  </si>
  <si>
    <t xml:space="preserve">Moc
[kW]</t>
  </si>
  <si>
    <t xml:space="preserve">Obsług. pow.
[m²]</t>
  </si>
  <si>
    <t xml:space="preserve">  BLOK C — STAN TECHNICZNY SIECI KANAŁÓW I DYSTRYBUCJI</t>
  </si>
  <si>
    <t xml:space="preserve">C-01</t>
  </si>
  <si>
    <t xml:space="preserve">Jaki jest ogólny stan kanałów wentylacyjnych w zakładzie?</t>
  </si>
  <si>
    <t xml:space="preserve">1=bardzo zły (korozja, nieszczelności masowe) / 3=średni / 5=bardzo dobry. Oceń na podstawie wizji tras kanałów</t>
  </si>
  <si>
    <t xml:space="preserve">C-02</t>
  </si>
  <si>
    <t xml:space="preserve">Czy kanały są zaizolowane termicznie?</t>
  </si>
  <si>
    <t xml:space="preserve">TAK — cała trasa / Częściowo (tylko wybrane sekcje) / NIE — gołe kanały. Brak izolacji = kondensacja latem + straty ciepła zimą</t>
  </si>
  <si>
    <t xml:space="preserve">C-03</t>
  </si>
  <si>
    <t xml:space="preserve">Czy stwierdzono nieszczelności kanałów (wizualna ocena)?</t>
  </si>
  <si>
    <t xml:space="preserve">NIE / TAK — szacowany zasięg: punktowe (złącza) / sekcje / rozległe. Nieszczelności kanałów = strata energii + obniżony przepływ w strefach</t>
  </si>
  <si>
    <t xml:space="preserve">C-04</t>
  </si>
  <si>
    <t xml:space="preserve">Klasa szczelności kanałów (jeśli znana z projektu lub pomiarów)</t>
  </si>
  <si>
    <t xml:space="preserve">Klasa A (najlepsza, &lt;0.27%) / B / C / D / Nieznana. PN-EN 1507 i PN-EN 12237. Typowo stare zakłady mają klasę C lub D (wiele nieszczelności)</t>
  </si>
  <si>
    <t xml:space="preserve">C-05</t>
  </si>
  <si>
    <t xml:space="preserve">Czy są kratki/anemostaty regularnie czyszczone?</t>
  </si>
  <si>
    <t xml:space="preserve">TAK — co ile miesięcy / NIE / Niektóre tylko. Zapchane kratki = spadek przepływu w strefie = pogorszona jakość powietrza</t>
  </si>
  <si>
    <t xml:space="preserve">C-06</t>
  </si>
  <si>
    <t xml:space="preserve">Czy system wentylacji obsługuje obszary o różnych wymaganiach ciśnieniowych?</t>
  </si>
  <si>
    <t xml:space="preserve">TAK — opisz (np. lakiernia: nadciśnienie; spawalnia: podciśnienie) / NIE. Różne wymagania = osobne systemy lub strefy z regulatorami</t>
  </si>
  <si>
    <t xml:space="preserve">C-07</t>
  </si>
  <si>
    <t xml:space="preserve">Czy stosowane są regulatory VAV (Variable Air Volume) w sieci?</t>
  </si>
  <si>
    <t xml:space="preserve">TAK — ile i gdzie / NIE. Brak VAV = stały przepływ niezależnie od zapotrzebowania = nadmierne zużycie energii</t>
  </si>
  <si>
    <t xml:space="preserve">  BLOK D — MONITORING ENERGETYCZNY I DANE DO EnB</t>
  </si>
  <si>
    <t xml:space="preserve">D-01</t>
  </si>
  <si>
    <t xml:space="preserve">Czy jest oddzielny licznik energii elektrycznej dla systemów wentylacji?</t>
  </si>
  <si>
    <t xml:space="preserve">TAK — podaj E_roczna z licznika [kWh/rok] / NIE — wentylacja jest w ogólnym liczniku zakładu. Brak oddzielnego licznika = trudność w wyznaczeniu EnPI systemu wentylacji</t>
  </si>
  <si>
    <t xml:space="preserve">D-02</t>
  </si>
  <si>
    <t xml:space="preserve">Szacowane roczne zużycie energii przez wentylację [kWh/rok]</t>
  </si>
  <si>
    <t xml:space="preserve">kWh/rok</t>
  </si>
  <si>
    <t xml:space="preserve">Jeśli brak licznika — oszacuj: moc_łączna × godziny_pracy. Typowe zakłady: 1800-4500 h/rok pracy wentylacji</t>
  </si>
  <si>
    <t xml:space="preserve">D-03</t>
  </si>
  <si>
    <t xml:space="preserve">Roczny czas pracy systemów wentylacji (średnio) [h/rok]</t>
  </si>
  <si>
    <t xml:space="preserve">h/rok</t>
  </si>
  <si>
    <t xml:space="preserve">Czas gdy wentylacja jest włączona. Typowo: 1 zmiana = 2000 h/rok, 2 zmiany = 4000 h, 3 zmiany = 6000 h, 24/7 = 8760 h</t>
  </si>
  <si>
    <t xml:space="preserve">D-04</t>
  </si>
  <si>
    <t xml:space="preserve">Czy systemy wentylacji pracują 24/7 czy wg harmonogramu?</t>
  </si>
  <si>
    <t xml:space="preserve">24/7 bez zatrzymania / Wg harmonogramu zmianowego / Wyłączane w weekendy / Różnie — zależnie od strefy</t>
  </si>
  <si>
    <t xml:space="preserve">D-05</t>
  </si>
  <si>
    <t xml:space="preserve">Czy pomieszczenia mają czujniki CO₂ podłączone do regulacji?</t>
  </si>
  <si>
    <t xml:space="preserve">TAK — ile stref / NIE. Brak czujników CO₂ = wentylacja pracuje na stałym przepływie niezależnie od zajętości</t>
  </si>
  <si>
    <t xml:space="preserve">D-06</t>
  </si>
  <si>
    <t xml:space="preserve">Czy mierzono stężenie CO₂ w pomieszczeniach produkcyjnych / biurach?</t>
  </si>
  <si>
    <t xml:space="preserve">ppm</t>
  </si>
  <si>
    <t xml:space="preserve">Podaj zmierzone wartości lub 'brak pomiarów'. Kat. II EN 16798-1: &lt;1000 ppm nad tłem zewnętrznym</t>
  </si>
  <si>
    <t xml:space="preserve">D-07</t>
  </si>
  <si>
    <t xml:space="preserve">Łączny koszt ciepła na ogrzewanie powietrza wentylacyjnego [zł/rok]</t>
  </si>
  <si>
    <t xml:space="preserve">zł/rok</t>
  </si>
  <si>
    <t xml:space="preserve">Jeśli znany z faktur lub rozliczenia mediów. Ogrzewanie powietrza wentylacyjnego = zazwyczaj 30-60% kosztów wentylacji</t>
  </si>
  <si>
    <t xml:space="preserve">  BLOK E — ODZYSK CIEPŁA — OCENA SYSTEMOWA</t>
  </si>
  <si>
    <t xml:space="preserve">E-01</t>
  </si>
  <si>
    <t xml:space="preserve">Ile AHU w zakładzie ma zainstalowany rekuperator?</t>
  </si>
  <si>
    <t xml:space="preserve">Rekuperator = wymiennik odzysku ciepła. Porównaj z A-01 (łączna liczba AHU)</t>
  </si>
  <si>
    <t xml:space="preserve">E-02</t>
  </si>
  <si>
    <t xml:space="preserve">Jaki % powierzchni jest obsługiwany przez AHU z rekuperatorem?</t>
  </si>
  <si>
    <t xml:space="preserve">Szacunek: np. hala A (rekuperator) + hala B (bez) — jaki % pow. łącznie ma odzysk?</t>
  </si>
  <si>
    <t xml:space="preserve">E-03</t>
  </si>
  <si>
    <t xml:space="preserve">Czy rekuperatory są regularnie czyszczone?</t>
  </si>
  <si>
    <t xml:space="preserve">TAK — co ile miesięcy / NIE / Nie wiadomo. Brudny rekuperator = niższa sprawność o 10-30%</t>
  </si>
  <si>
    <t xml:space="preserve">E-04</t>
  </si>
  <si>
    <t xml:space="preserve">Czy w zimie odzysk ciepła jest aktywny (rekuperatory pracują)?</t>
  </si>
  <si>
    <t xml:space="preserve">TAK — sprawność jak w DTR / NIE — bypass otwarty / Częściowo. Wyłączony odzysk zimą = największa strata energetyczna systemu wentylacji</t>
  </si>
  <si>
    <t xml:space="preserve">E-05</t>
  </si>
  <si>
    <t xml:space="preserve">Czy ciepło z rekuperacji jest wystarczające do ogrzania powietrza nawiewanego zimą?</t>
  </si>
  <si>
    <t xml:space="preserve">TAK (temperatura po rekuperacji ≥ 16°C) / NIE — wymaga dogrzewania nagrzewnicą / Różnie wg strefy</t>
  </si>
  <si>
    <t xml:space="preserve">E-06</t>
  </si>
  <si>
    <t xml:space="preserve">Łączna szacowana moc odzysku ciepła w całym systemie [kW]</t>
  </si>
  <si>
    <t xml:space="preserve">Suma mocy odzysku ze wszystkich rekuperatorów — z DTR urządzeń lub szacunek: 0.8 × Σ(V_i × ΔT × 0.34) gdzie ΔT = różnica temp. zewn./wewn.</t>
  </si>
  <si>
    <t xml:space="preserve">  BLOK F — JAKOŚĆ POWIETRZA WEWNĘTRZNEGO (IEQ) I ZGODNOŚĆ Z PRAWEM</t>
  </si>
  <si>
    <t xml:space="preserve">F-01</t>
  </si>
  <si>
    <t xml:space="preserve">Czy zakład posiada projekt wentylacji z obliczeniami strumieni powietrza?</t>
  </si>
  <si>
    <t xml:space="preserve">TAK — projekt z datą / NIE / CZĘŚCIOWY. Bez projektu niemożliwe sprawdzenie zgodności z EN 16798-1</t>
  </si>
  <si>
    <t xml:space="preserve">F-02</t>
  </si>
  <si>
    <t xml:space="preserve">Czy pracownicy skarżą się na jakość powietrza (duszność, zapachy, hałas)?</t>
  </si>
  <si>
    <t xml:space="preserve">TAK — opisz w jakich strefach / NIE. Skargi pracowników = sygnał o niewystarczającym przepływie lub nieszczelności sieci</t>
  </si>
  <si>
    <t xml:space="preserve">F-03</t>
  </si>
  <si>
    <t xml:space="preserve">Czy wentylacja spełnia wymagania BHP i p.poż.?</t>
  </si>
  <si>
    <t xml:space="preserve">TAK (ostatni przegląd) / NIE (wymień niezgodności) / Nie wiadomo. Wymagania: Rozp. Min. Pracy ws. bhp, warunki techniczne budynków</t>
  </si>
  <si>
    <t xml:space="preserve">F-04</t>
  </si>
  <si>
    <t xml:space="preserve">Czy są strefy z odciągiem miejscowym (spawalnia, lakiernia, obróbka drewna)?</t>
  </si>
  <si>
    <t xml:space="preserve">TAK — opisz jakie i ile stanowisk / NIE. Odciągi miejscowe to osobne systemy VAC-P — wymagają osobnych paszportów jeśli są SEU</t>
  </si>
  <si>
    <t xml:space="preserve">F-05</t>
  </si>
  <si>
    <t xml:space="preserve">Hałas wentylacji — czy pracownicy zgłaszają uciążliwość?</t>
  </si>
  <si>
    <t xml:space="preserve">dB(A)</t>
  </si>
  <si>
    <t xml:space="preserve">NIE / TAK — w jakich strefach. Norma: &lt;65 dB(A) przy stanowiskach pracy, &lt;45 dB(A) w biurach</t>
  </si>
  <si>
    <t xml:space="preserve">F-06</t>
  </si>
  <si>
    <t xml:space="preserve">Data ostatniego czyszczenia kanałów wentylacyjnych (chemiczne lub mechaniczne)</t>
  </si>
  <si>
    <t xml:space="preserve">DD.MM.RRRR lub 'brak danych'. Norma: co 3-5 lat dla kanałów produkcyjnych, co 5 lat dla biurowych</t>
  </si>
  <si>
    <t xml:space="preserve">F-07</t>
  </si>
  <si>
    <t xml:space="preserve">Czy przeprowadzano pomiary wydatku powietrza (anemometrem) przy kratkach?</t>
  </si>
  <si>
    <t xml:space="preserve">TAK — kiedy ostatnio / NIE. Pomiary potwierdzają że projekt = rzeczywistość. Brak = ryzyko złej dystrybucji</t>
  </si>
  <si>
    <t xml:space="preserve">  ENESA sp. z o.o.  ·  A-EnMS-VAC-SYS-01  ·  ANKIETA ETAP 1  ·  Wersja 3.0  ·  EN 16798-1 · PN-EN 13053+A1 · PN-EN 1886</t>
  </si>
  <si>
    <t xml:space="preserve">ENESA  ·  PASZPORT SYSTEMU WENTYLACJI  ·  A-EnMS-VAC-SYS-01  ·  ETAP 2 — OBLICZENIA SYSTEMOWE</t>
  </si>
  <si>
    <t xml:space="preserve">Wypełnia: Energy Manager + Konsultant ENESA  ·  Pola NIEBIESKIE = wpisz  ·  Pola SZARE = formuły Excel</t>
  </si>
  <si>
    <t xml:space="preserve">Parametr / Obliczenie</t>
  </si>
  <si>
    <t xml:space="preserve">Wartość</t>
  </si>
  <si>
    <t xml:space="preserve">Norma / Źródło</t>
  </si>
  <si>
    <t xml:space="preserve">Komentarz / Wzór</t>
  </si>
  <si>
    <t xml:space="preserve">  SEKCJA 1 — ZESTAWIENIE WSZYSTKICH AHU I WENTYLATORÓW W SYSTEMIE</t>
  </si>
  <si>
    <t xml:space="preserve">ID Systemu / AHU</t>
  </si>
  <si>
    <t xml:space="preserve">Moc łączna
wentylatorów [kW]</t>
  </si>
  <si>
    <t xml:space="preserve">Przepływ
nominalny [m³/h]</t>
  </si>
  <si>
    <t xml:space="preserve">Sprawność
rekuperatora η_t [%]</t>
  </si>
  <si>
    <t xml:space="preserve">Obsług.
pow. [m²]</t>
  </si>
  <si>
    <t xml:space="preserve">SUMA SYSTEMU</t>
  </si>
  <si>
    <t xml:space="preserve">  SEKCJA 2 — DANE ENERGETYCZNE SYSTEMU (inputy do obliczeń)</t>
  </si>
  <si>
    <t xml:space="preserve">E_roczna_el — zużycie energii el. przez wentylację [kWh/rok]</t>
  </si>
  <si>
    <t xml:space="preserve">Licznik dedykowany / Etap1 D-02</t>
  </si>
  <si>
    <t xml:space="preserve">Energia elektryczna napędów wentylatorów. Jeśli brak oddzielnego licznika: szacunek z mocy i czasu pracy</t>
  </si>
  <si>
    <t xml:space="preserve">E_cieplo — energia cieplna zużyta do ogrzewania powietrza [kWh/rok]</t>
  </si>
  <si>
    <t xml:space="preserve">Faktura ciepło / obliczenie</t>
  </si>
  <si>
    <t xml:space="preserve">Energia nagrzewnic (gas, c.o., el.) do dogrzewania powietrza nawiewanego. Kluczowy składnik — często 50-300% wartości E_el</t>
  </si>
  <si>
    <t xml:space="preserve">E_chlodzenie — energia chłodzenia powietrza [kWh/rok]</t>
  </si>
  <si>
    <t xml:space="preserve">Licznik chillera / obliczenie</t>
  </si>
  <si>
    <t xml:space="preserve">Energia chłodnic (chiller) do schładzania powietrza latem. Wpisz 0 jeśli brak chłodzenia</t>
  </si>
  <si>
    <t xml:space="preserve">E_total — łączna energia systemu wentylacji [kWh/rok]</t>
  </si>
  <si>
    <t xml:space="preserve">OBLICZONA</t>
  </si>
  <si>
    <t xml:space="preserve"> E_total = E_el + E_ciepło + E_chłodzenie. Pełny obraz kosztów energetycznych wentylacji</t>
  </si>
  <si>
    <t xml:space="preserve">Cena energii elektrycznej [zł/kWh]</t>
  </si>
  <si>
    <t xml:space="preserve">zł/kWh</t>
  </si>
  <si>
    <t xml:space="preserve">Faktura energii</t>
  </si>
  <si>
    <t xml:space="preserve">Średnia cena ze wszystkich składników faktury za energie elektryczną</t>
  </si>
  <si>
    <t xml:space="preserve">Cena ciepła [zł/GJ lub zł/kWh]</t>
  </si>
  <si>
    <t xml:space="preserve">Faktura ciepło</t>
  </si>
  <si>
    <t xml:space="preserve">Cena ciepła sieciowego lub kosztu paliwa. Przelicznik: 1 GJ = 277.8 kWh</t>
  </si>
  <si>
    <t xml:space="preserve">T_pracy — roczny czas pracy wentylacji [h/rok]</t>
  </si>
  <si>
    <t xml:space="preserve">Etap1 D-03 / harmonogram</t>
  </si>
  <si>
    <t xml:space="preserve">Ważone godziny pracy wszystkich systemów. Etap1 D-03</t>
  </si>
  <si>
    <t xml:space="preserve">V_nawiew_system — łączny nominalny przepływ nawiewu [m³/h]</t>
  </si>
  <si>
    <t xml:space="preserve">m³/h</t>
  </si>
  <si>
    <t xml:space="preserve">Z SEKCJI 1 (Suma)</t>
  </si>
  <si>
    <t xml:space="preserve"> Łączny przepływ z wiersza SUMA SYSTEMU powyżej — automatycznie</t>
  </si>
  <si>
    <t xml:space="preserve">P_wentylatory_system — łączna moc wentylatorów [kW]</t>
  </si>
  <si>
    <t xml:space="preserve"> Łączna moc z wiersza SUMA — automatycznie</t>
  </si>
  <si>
    <t xml:space="preserve">Powierzchnia obsługiwana łącznie [m²]</t>
  </si>
  <si>
    <t xml:space="preserve"> Suma powierzchni ze wszystkich stref</t>
  </si>
  <si>
    <t xml:space="preserve">  SEKCJA 3 — OBLICZENIA SYSTEMOWE I EnPI (formuły Excel)</t>
  </si>
  <si>
    <t xml:space="preserve">  SFP_system = P_wentylatory [W] / V_nawiew [m³/s]  ·  EnPI_el = E_el [kWh/rok] / A_obsług [m²]  ·  EnPI_total = E_total [kWh/rok] / A_obsług [m²]  ·  Udział odzysku = E_odzysk / (E_odzysk + E_nagrzewnica) × 100%</t>
  </si>
  <si>
    <t xml:space="preserve">SFP_system — wskaźnik mocy wentylatorów</t>
  </si>
  <si>
    <t xml:space="preserve">W/(m³/s)</t>
  </si>
  <si>
    <t xml:space="preserve">PN-EN 13053+A1 OBLICZONA</t>
  </si>
  <si>
    <t xml:space="preserve"> SFP = P_vent[W] / V[m³/s]. Benchmark: &lt;500=SFP1 dobry · &lt;1250=SFP3 · &gt;2000=SFP7 zły</t>
  </si>
  <si>
    <t xml:space="preserve">Klasa SFP systemu wg EN 13053</t>
  </si>
  <si>
    <t xml:space="preserve">Klasyfikacja energetyczna systemu wentylacji</t>
  </si>
  <si>
    <t xml:space="preserve">EnPI_el — energie elektryczna na m² obsługiwanej pow.</t>
  </si>
  <si>
    <t xml:space="preserve">kWh/(m²·rok)</t>
  </si>
  <si>
    <t xml:space="preserve"> EnPI_el = E_el / A. Benchmark: &lt;15 kWh/m²/rok = efektywny · 15-35 = przeciętny · &gt;35 = nieefektywny</t>
  </si>
  <si>
    <t xml:space="preserve">EnPI_total — łączna energia (el+ciepło+chł) na m²</t>
  </si>
  <si>
    <t xml:space="preserve"> EnPI_total = E_total / A. Pełny obraz. Typowe: 20-80 kWh/m²/rok (zależnie od klimatu i typ budynku)</t>
  </si>
  <si>
    <t xml:space="preserve">Intensywność wymiany powietrza (systemowa)</t>
  </si>
  <si>
    <t xml:space="preserve">1/h</t>
  </si>
  <si>
    <t xml:space="preserve">OBLICZONA · EN 16798-1</t>
  </si>
  <si>
    <t xml:space="preserve"> = V_nawiew / (A_obsług × śr.wys. 3m). Typowe: biura 2-3/h · hale 4-8/h · procesy &gt;10/h</t>
  </si>
  <si>
    <t xml:space="preserve">Koszt energii elektrycznej wentylacji [zł/rok]</t>
  </si>
  <si>
    <t xml:space="preserve"> = E_el × cena_el</t>
  </si>
  <si>
    <t xml:space="preserve">Koszt ciepła do ogrzewania powietrza [zł/rok]</t>
  </si>
  <si>
    <t xml:space="preserve"> = E_ciepło × cena_ciepła</t>
  </si>
  <si>
    <t xml:space="preserve">Łączny koszt energii systemu wentylacji [zł/rok]</t>
  </si>
  <si>
    <t xml:space="preserve"> = koszt_el + koszt_ciepło. Podstawa do oceny potencjału oszczędności</t>
  </si>
  <si>
    <t xml:space="preserve">Udział kosztów wentylacji w kosztach energii zakładu</t>
  </si>
  <si>
    <t xml:space="preserve">Dane zakładowe</t>
  </si>
  <si>
    <t xml:space="preserve">Wpisz ręcznie jeśli znany. Typowo: 20-40% całkowitych kosztów energii zakładu</t>
  </si>
  <si>
    <t xml:space="preserve">Szacowany potencjał oszczędności przez VAV i CO₂</t>
  </si>
  <si>
    <t xml:space="preserve">Metodologia ENESA</t>
  </si>
  <si>
    <t xml:space="preserve">Jeśli brak regulacji VAV: potencjał 20-40% E_el. Jeśli brak rekuperacji: potencjał odzysku 30-60% E_ciepło</t>
  </si>
  <si>
    <t xml:space="preserve">  SEKCJA 4 — WALIDACJA MODELU BOTTOM-UP  (metodologia ENESA P-EnMS-02)</t>
  </si>
  <si>
    <t xml:space="preserve">  Wzór: E_model_VAC = Σᵢ [ SFP_i × V_nawiew_i × T_pracy_i ]  +  Σᵢ E_ciepło_i  +  Σᵢ E_chłodzenie_i  ·  Walidacja: |ΔE| = |E_model - E_licznik| / E_licznik × 100%.  Cel: ≤ 5% — model zatwierdzony.</t>
  </si>
  <si>
    <t xml:space="preserve">E_model_el — suma modelu bottom-up (energia el. wentylatorów)</t>
  </si>
  <si>
    <t xml:space="preserve">Oblicz z Sek.1: Σ(SFP_i × V_i/3600 × T_pracy_i × 1000)</t>
  </si>
  <si>
    <t xml:space="preserve">Suma ze wszystkich AHU: SFP[W/(m³/s)] × V[m³/s] × T[h] / 1000 = kWh</t>
  </si>
  <si>
    <t xml:space="preserve">E_model_ciepło — suma mocy grzewczych × czas pracy</t>
  </si>
  <si>
    <t xml:space="preserve">DTR nagrzewnic + T_pracy</t>
  </si>
  <si>
    <t xml:space="preserve">Suma: moc_nagrzewnicy_i [kW] × T_pracy_i [h] × współczynnik_obciążenia (typowo 0.6 zimą)</t>
  </si>
  <si>
    <t xml:space="preserve">E_model_total — suma modelu bottom-up ŁĄCZNA</t>
  </si>
  <si>
    <t xml:space="preserve"> E_model = E_model_el + E_model_ciepło</t>
  </si>
  <si>
    <t xml:space="preserve">E_licznik — zużycie z liczników / faktur (el + ciepło) [kWh/rok]</t>
  </si>
  <si>
    <t xml:space="preserve">Liczniki / faktury 12 mies.</t>
  </si>
  <si>
    <t xml:space="preserve">Suma: E_el z licznika + E_ciepło z faktur za 12 miesięcy</t>
  </si>
  <si>
    <t xml:space="preserve">Odchylenie walidacyjne |ΔE| [%]</t>
  </si>
  <si>
    <t xml:space="preserve">OBLICZONA · P-EnMS-02</t>
  </si>
  <si>
    <t xml:space="preserve"> |ΔE| = |E_model - E_licznik| / E_licznik × 100%</t>
  </si>
  <si>
    <t xml:space="preserve">Decyzja o modelu bottom-up</t>
  </si>
  <si>
    <t xml:space="preserve">Zatw. gdy Δ ≤ 5%. Sprawdź: pominięte systemy, błędne T_pracy, błędne moce</t>
  </si>
  <si>
    <t xml:space="preserve">  SEKCJA 5 — ANALIZA SYSTEMU ODZYSKU CIEPŁA (bilans roczny)</t>
  </si>
  <si>
    <t xml:space="preserve">  Energia odzyskana [kWh/rok] = Σᵢ [ Q_nawiew_i × ρ × Cp × η_t_i × (T_wyciąg - T_zewn_śr) × T_grzewczy ]  ·  gdzie: ρ = 1.2 kg/m³, Cp = 0.28 Wh/(kg·K), T_grzewczy = liczba godzin gdy T_zewn &lt; 12°C (typowo 4000-5000 h/rok w PL)</t>
  </si>
  <si>
    <t xml:space="preserve">Liczba godzin sezonu grzewczego (T_zewn &lt; 12°C) [h/rok]</t>
  </si>
  <si>
    <t xml:space="preserve">Dane meteorologiczne / IMGW</t>
  </si>
  <si>
    <t xml:space="preserve">Typowo dla Polski: 4500-5500 h/rok. Warszawa ~4800h, Kraków ~4600h, Wrocław ~4400h</t>
  </si>
  <si>
    <t xml:space="preserve">Średnia temperatura zewnętrzna w sezonie grzewczym [°C]</t>
  </si>
  <si>
    <t xml:space="preserve">°C</t>
  </si>
  <si>
    <t xml:space="preserve">Dane meteorologiczne</t>
  </si>
  <si>
    <t xml:space="preserve">Typowo dla Polski: 0-5°C. Używana do obliczenia ΔT przy rekuperatorze</t>
  </si>
  <si>
    <t xml:space="preserve">Średnia temperatura wyciągu (w budynku) [°C]</t>
  </si>
  <si>
    <t xml:space="preserve">Pomiar / projekt</t>
  </si>
  <si>
    <t xml:space="preserve">Typowo 18-22°C dla biur i hal produkcyjnych. Wyżej jeśli proces generuje ciepło</t>
  </si>
  <si>
    <t xml:space="preserve">Łączna moc odzysku ciepła systemu [kW]</t>
  </si>
  <si>
    <t xml:space="preserve">Z Etap1 E-06 / Sek.1</t>
  </si>
  <si>
    <t xml:space="preserve"> Automatycznie z inputów lub wpisz z Paszportów Urządzeń</t>
  </si>
  <si>
    <t xml:space="preserve">Energia odzyskana roczna [kWh/rok]</t>
  </si>
  <si>
    <t xml:space="preserve">OBLICZONA (uproszczona)</t>
  </si>
  <si>
    <t xml:space="preserve"> = moc_odzysku [kW] × T_grzewczy [h]. Uproszczenie — pełne obliczenie wymaga danych sezonowych</t>
  </si>
  <si>
    <t xml:space="preserve">Wartość odzyskanego ciepła [zł/rok]</t>
  </si>
  <si>
    <t xml:space="preserve"> = E_odzysk [kWh] × cena_ciepła [zł/kWh]</t>
  </si>
  <si>
    <t xml:space="preserve">Efektywność systemu odzysku (% pokrycia zapotrzebowania na ciepło)</t>
  </si>
  <si>
    <t xml:space="preserve"> = E_odzysk / E_ciepło_total. Im wyższy % tym mniej ciepła trzeba dostarczyć z sieci/kotłowni</t>
  </si>
  <si>
    <t xml:space="preserve">Potencjał wzrostu odzysku (% AHU bez rekuperatora × E_ciepło)</t>
  </si>
  <si>
    <t xml:space="preserve">Szacunek analityczny</t>
  </si>
  <si>
    <t xml:space="preserve">Wpisz szacunkowo: ile % kosztów ciepła można by zaoszczędzić gdyby wszystkie AHU miały rekuperatory</t>
  </si>
  <si>
    <t xml:space="preserve">  ENESA  ·  A-EnMS-VAC-SYS-01  ·  ETAP 2 DTR  ·  Wersja 3.0  ·  PN-EN 13053+A1 · EN 16798-1</t>
  </si>
  <si>
    <t xml:space="preserve">PASZPORT SYSTEMU WENTYLACJI  ·  A-EnMS-VAC-SYS-01</t>
  </si>
  <si>
    <t xml:space="preserve">System Zarządzania Energią ISO 50001  ·  ENESA sp. z o.o.  ·  Wersja 3.0  ·  PN-EN 13053+A1 · EN 16798-1</t>
  </si>
  <si>
    <t xml:space="preserve">ID SYSTEMU:</t>
  </si>
  <si>
    <t xml:space="preserve">Status:</t>
  </si>
  <si>
    <t xml:space="preserve">  1.  IDENTYFIKACJA SYSTEMU</t>
  </si>
  <si>
    <t xml:space="preserve">Zakład / Organizacja</t>
  </si>
  <si>
    <t xml:space="preserve">[z nagłówka]</t>
  </si>
  <si>
    <t xml:space="preserve">Liczba AHU w systemie</t>
  </si>
  <si>
    <t xml:space="preserve">[z Etap1 A-01]</t>
  </si>
  <si>
    <t xml:space="preserve">Liczba wentylatorów samodzielnych</t>
  </si>
  <si>
    <t xml:space="preserve">[z Etap1 A-02]</t>
  </si>
  <si>
    <t xml:space="preserve">Łączna moc wentylatorów [kW]</t>
  </si>
  <si>
    <t xml:space="preserve">[z DTR Sek.1 — SUMA]</t>
  </si>
  <si>
    <t xml:space="preserve">Łączny przepływ nominalny [m³/h]</t>
  </si>
  <si>
    <t xml:space="preserve">% pow. z rekuperacją</t>
  </si>
  <si>
    <t xml:space="preserve">[z Etap1 E-02]</t>
  </si>
  <si>
    <t xml:space="preserve">Rok budowy systemów (najstarszy)</t>
  </si>
  <si>
    <t xml:space="preserve">[z Etap1 A-07]</t>
  </si>
  <si>
    <t xml:space="preserve">  2.  KLUCZOWE WSKAŹNIKI EnPI SYSTEMU WENTYLACJI  ★</t>
  </si>
  <si>
    <t xml:space="preserve">Wskaźnik EnPI</t>
  </si>
  <si>
    <t xml:space="preserve">Jednostka</t>
  </si>
  <si>
    <t xml:space="preserve">Benchmark / Norma</t>
  </si>
  <si>
    <t xml:space="preserve">Klasyfikacja</t>
  </si>
  <si>
    <t xml:space="preserve">SFP_system</t>
  </si>
  <si>
    <t xml:space="preserve">[z DTR Sek.3]</t>
  </si>
  <si>
    <t xml:space="preserve">SFP1 &lt;500 ★★★ · SFP3 &lt;1250 ★★ · SFP5 &lt;2000 ★ · &gt;2000 ✗</t>
  </si>
  <si>
    <t xml:space="preserve">[auto]</t>
  </si>
  <si>
    <t xml:space="preserve">Klasa SFP</t>
  </si>
  <si>
    <t xml:space="preserve">—</t>
  </si>
  <si>
    <t xml:space="preserve">SFP1 = bardzo efektywny · SFP7 = bardzo nieefektywny</t>
  </si>
  <si>
    <t xml:space="preserve">EnPI_el [kWh/(m²·rok)]</t>
  </si>
  <si>
    <t xml:space="preserve">kWh/m²/rok</t>
  </si>
  <si>
    <t xml:space="preserve">&lt;15 efektywny · 15-35 przeciętny · &gt;35 nieefektywny</t>
  </si>
  <si>
    <t xml:space="preserve">EnPI_total [kWh/(m²·rok)]</t>
  </si>
  <si>
    <t xml:space="preserve">&lt;30 efektywny · 30-80 przeciętny · &gt;80 nieefektywny</t>
  </si>
  <si>
    <t xml:space="preserve">Intensywność wymiany pow. [1/h]</t>
  </si>
  <si>
    <t xml:space="preserve">Biura: 2-3/h · Hale: 4-8/h · Procesy: &gt;10/h (EN 16798-1)</t>
  </si>
  <si>
    <t xml:space="preserve">Walidacja modelu |ΔE| [%]</t>
  </si>
  <si>
    <t xml:space="preserve">[z DTR Sek.4]</t>
  </si>
  <si>
    <t xml:space="preserve">≤5% zatwierdzone · ≤10% warunkowo · &gt;10% odrzucony</t>
  </si>
  <si>
    <t xml:space="preserve">Efektywność odzysku ciepła [%]</t>
  </si>
  <si>
    <t xml:space="preserve">[z DTR Sek.5]</t>
  </si>
  <si>
    <t xml:space="preserve">Im wyższy tym mniej ciepła z sieci. Cel: &gt;60%</t>
  </si>
  <si>
    <t xml:space="preserve">Koszt łączny wentylacji [zł/rok]</t>
  </si>
  <si>
    <t xml:space="preserve">Podstawa do priorytetyzacji inwestycji</t>
  </si>
  <si>
    <t xml:space="preserve">  3.  ZESTAWIENIE SYSTEMÓW AHU — REJESTR</t>
  </si>
  <si>
    <t xml:space="preserve">ID AHU / System</t>
  </si>
  <si>
    <t xml:space="preserve">SFP
[W/(m³/s)]</t>
  </si>
  <si>
    <t xml:space="preserve">η_t rekup.
[%]</t>
  </si>
  <si>
    <t xml:space="preserve">Klas. SFP</t>
  </si>
  <si>
    <t xml:space="preserve">Status filtrów</t>
  </si>
  <si>
    <t xml:space="preserve">[AHU-01]</t>
  </si>
  <si>
    <t xml:space="preserve">[AHU-02]</t>
  </si>
  <si>
    <t xml:space="preserve">[AHU-03]</t>
  </si>
  <si>
    <t xml:space="preserve">[AHU-04]</t>
  </si>
  <si>
    <t xml:space="preserve">[AHU-05]</t>
  </si>
  <si>
    <t xml:space="preserve">[AHU-06]</t>
  </si>
  <si>
    <t xml:space="preserve">[AHU-07]</t>
  </si>
  <si>
    <t xml:space="preserve">[AHU-08]</t>
  </si>
  <si>
    <t xml:space="preserve">  4.  BILANS ODZYSKU CIEPŁA (roczny)</t>
  </si>
  <si>
    <t xml:space="preserve">Efektywność odzysku [%]</t>
  </si>
  <si>
    <t xml:space="preserve">AHU bez rekuperatora — ile szt.</t>
  </si>
  <si>
    <t xml:space="preserve">[z Etap1 A-01 minus E-01]</t>
  </si>
  <si>
    <t xml:space="preserve">Potencjał wzrostu odzysku [%]</t>
  </si>
  <si>
    <t xml:space="preserve">  5.  COMPLIANCE I STAN TECHNICZNY SYSTEMU</t>
  </si>
  <si>
    <t xml:space="preserve">Schemat wentylacji / projekt aktualny</t>
  </si>
  <si>
    <t xml:space="preserve">[z Etap1 A-08]</t>
  </si>
  <si>
    <t xml:space="preserve">✅ TAK / ⚠️ Nieaktualny / ❌ Brak</t>
  </si>
  <si>
    <t xml:space="preserve">% powierzchni z wentylacją mechaniczną</t>
  </si>
  <si>
    <t xml:space="preserve">[z Etap1 A-06]</t>
  </si>
  <si>
    <t xml:space="preserve">Im niższy % tym większy potencjał ekspansji systemu</t>
  </si>
  <si>
    <t xml:space="preserve">Stan sieci kanałów (1-5)</t>
  </si>
  <si>
    <t xml:space="preserve">[z Etap1 C-01]</t>
  </si>
  <si>
    <t xml:space="preserve">&lt;3 = wymaga pilnej interwencji</t>
  </si>
  <si>
    <t xml:space="preserve">Izolacja kanałów</t>
  </si>
  <si>
    <t xml:space="preserve">[z Etap1 C-02]</t>
  </si>
  <si>
    <t xml:space="preserve">✅ Cała trasa / ⚠️ Częściowa / ❌ Brak</t>
  </si>
  <si>
    <t xml:space="preserve">Nieszczelności kanałów</t>
  </si>
  <si>
    <t xml:space="preserve">[z Etap1 C-03]</t>
  </si>
  <si>
    <t xml:space="preserve">❌ Stwierdzone → Reguła VAC-3-001 / ✅ Nie stwierdzono</t>
  </si>
  <si>
    <t xml:space="preserve">Czujniki CO₂ zainstalowane</t>
  </si>
  <si>
    <t xml:space="preserve">[z Etap1 D-05]</t>
  </si>
  <si>
    <t xml:space="preserve">✅ Są → VAV możliwe / ❌ Brak → stały przepływ</t>
  </si>
  <si>
    <t xml:space="preserve">Pomiary wydatku powietrza wykonane</t>
  </si>
  <si>
    <t xml:space="preserve">[z Etap1 F-07]</t>
  </si>
  <si>
    <t xml:space="preserve">✅ TAK (data) / ❌ Brak → ryzyko złej dystrybucji</t>
  </si>
  <si>
    <t xml:space="preserve">Czyszczenie kanałów — ostatnio</t>
  </si>
  <si>
    <t xml:space="preserve">[z Etap1 F-06]</t>
  </si>
  <si>
    <t xml:space="preserve">Norma: co 3-5 lat dla produkcji</t>
  </si>
  <si>
    <t xml:space="preserve">Odciągi miejscowe (spawalnia/lakiernia)</t>
  </si>
  <si>
    <t xml:space="preserve">[z Etap1 F-04]</t>
  </si>
  <si>
    <t xml:space="preserve">TAK → osobne paszporty VAC-P / NIE</t>
  </si>
  <si>
    <t xml:space="preserve">Zgodność z BHP i p.poż.</t>
  </si>
  <si>
    <t xml:space="preserve">[z Etap1 F-03]</t>
  </si>
  <si>
    <t xml:space="preserve">✅ Zgodny / ❌ Niezgodny → działanie korygujące</t>
  </si>
  <si>
    <t xml:space="preserve">  6.  ZATWIERDZENIE PASZPORTU SYSTEMU WENTYLACJI</t>
  </si>
  <si>
    <t xml:space="preserve">Energy Manager:</t>
  </si>
  <si>
    <t xml:space="preserve">Podpis: ________________</t>
  </si>
  <si>
    <t xml:space="preserve">Data:</t>
  </si>
  <si>
    <t xml:space="preserve">________________</t>
  </si>
  <si>
    <t xml:space="preserve">Konsultant ENESA:</t>
  </si>
  <si>
    <t xml:space="preserve">  ENESA  ·  A-EnMS-VAC-SYS-01  ·  Paszport Systemu Wentylacji  ·  Wersja 3.0  ·  ISO 50001 · EN 13053+A1 · EN 16798-1</t>
  </si>
  <si>
    <t xml:space="preserve">ENESA  ·  SYSTEM PROMPT — AGENT 1 (SCOUT)  ·  SYSTEM WENTYLACJI  ·  A-EnMS-VAC-SYS-01</t>
  </si>
  <si>
    <t xml:space="preserve">Skopiuj tekst od wiersza 5 do ###DANE_KOMPLETNE### do konfiguracji Agenta 1  ·  Mapowanie JSON poniżej tekstu</t>
  </si>
  <si>
    <t xml:space="preserve">⚠️  Ten prompt dotyczy SYSTEMU wentylacji (przegląd całości zakładu). Dla pojedynczego AHU używaj promptu z pliku Paszport_AHU_Wentylacja_v3.xlsx</t>
  </si>
  <si>
    <t xml:space="preserve">── POCZĄTEK SYSTEM PROMPTU ──</t>
  </si>
  <si>
    <t xml:space="preserve">Jesteś Agentem 1 (Scout) ENESA — przeprowadzasz SYSTEMOWY przegląd wentylacji zakładu.</t>
  </si>
  <si>
    <t xml:space="preserve">Rozmawiasz z Energy Managerem lub Konsultantem ENESA — osobą z wiedzą techniczną i dostępem do danych zakładu.</t>
  </si>
  <si>
    <t xml:space="preserve"> === RÓŻNICA WOBEC PASZPORTU URZĄDZENIA AHU ===</t>
  </si>
  <si>
    <t xml:space="preserve">Paszport AHU (A-EnMS-VAC-01): inwentaryzacja jednej centrali lub wentylatora przez pracownika UR.</t>
  </si>
  <si>
    <t xml:space="preserve">Ten paszport (A-EnMS-VAC-SYS-01): systemowy przegląd CAŁEJ wentylacji zakładu — agregat, bilanse, zgodność.</t>
  </si>
  <si>
    <t xml:space="preserve">Wymagane dane: liczba i moce wszystkich AHU, zużycie energii systemu, odzysk ciepła, jakość pow. (CO₂).</t>
  </si>
  <si>
    <t xml:space="preserve"> === BLOKI PYTAŃ (A-F) ===</t>
  </si>
  <si>
    <t xml:space="preserve">BLOK A — Inwentaryzacja systemu (A-01 do A-08):</t>
  </si>
  <si>
    <t xml:space="preserve">A-01: Łączna liczba AHU w zakładzie (wszystkie — produkcyjne, biurowe, socjalne).</t>
  </si>
  <si>
    <t xml:space="preserve">A-02: Łączna liczba samodzielnych wentylatorów (bez AHU — dachowe, kanałowe, ścienne).</t>
  </si>
  <si>
    <t xml:space="preserve">A-03: Łączna moc zainstalowanych wentylatorów we wszystkich AHU [kW].</t>
  </si>
  <si>
    <t xml:space="preserve">A-04: Łączna moc samodzielnych wentylatorów [kW].</t>
  </si>
  <si>
    <t xml:space="preserve">A-05: Łączna obsługiwana powierzchnia przez wszystkie systemy wentylacji [m²].</t>
  </si>
  <si>
    <t xml:space="preserve">A-06: Jaki % powierzchni zakładu ma wentylację MECHANICZNĄ vs grawitacyjna/brak?</t>
  </si>
  <si>
    <t xml:space="preserve">A-07: Rok budowy najstarszego i najnowszego systemu wentylacji.</t>
  </si>
  <si>
    <t xml:space="preserve">A-08: Czy jest aktualny schemat / projekt instalacji wentylacji?</t>
  </si>
  <si>
    <t xml:space="preserve">BLOK B — Zestawienie systemów (tabela):</t>
  </si>
  <si>
    <t xml:space="preserve">Poproś o wypełnienie tabeli dla każdego systemu wentylacji:</t>
  </si>
  <si>
    <t xml:space="preserve">  - ID systemu (z Paszportu Urządzenia)</t>
  </si>
  <si>
    <t xml:space="preserve">  - Nazwa / obsługiwana strefa</t>
  </si>
  <si>
    <t xml:space="preserve">  - Typ (AHU / wentylator)</t>
  </si>
  <si>
    <t xml:space="preserve">  - Moc łączna wentylatorów [kW]</t>
  </si>
  <si>
    <t xml:space="preserve">  - Obsługiwana powierzchnia [m²]</t>
  </si>
  <si>
    <t xml:space="preserve">Zbierz dane dla wszystkich systemów przed przejściem do Bloku C.</t>
  </si>
  <si>
    <t xml:space="preserve">BLOK C — Stan techniczny sieci (C-01 do C-07):</t>
  </si>
  <si>
    <t xml:space="preserve">C-01: Ogólna ocena stanu kanałów (1-5).</t>
  </si>
  <si>
    <t xml:space="preserve">C-02: Czy kanały są zaizolowane termicznie?</t>
  </si>
  <si>
    <t xml:space="preserve">C-03: Czy stwierdzono nieszczelności kanałów?</t>
  </si>
  <si>
    <t xml:space="preserve">C-04: Klasa szczelności kanałów (A/B/C/D/Nieznana wg PN-EN 1507).</t>
  </si>
  <si>
    <t xml:space="preserve">C-05: Czy kratki/anemostaty są regularnie czyszczone?</t>
  </si>
  <si>
    <t xml:space="preserve">C-06: Czy są strefy z różnymi wymaganiami ciśnieniowymi?</t>
  </si>
  <si>
    <t xml:space="preserve">C-07: Czy stosowane są regulatory VAV w sieci?</t>
  </si>
  <si>
    <t xml:space="preserve">BLOK D — Monitoring i dane energetyczne (D-01 do D-07):</t>
  </si>
  <si>
    <t xml:space="preserve">D-01: Czy jest oddzielny licznik energii dla wentylacji? (TAK/NIE)</t>
  </si>
  <si>
    <t xml:space="preserve">D-02: Szacowane roczne zużycie energii przez wentylację [kWh/rok].</t>
  </si>
  <si>
    <t xml:space="preserve">D-03: Roczny czas pracy systemów [h/rok].</t>
  </si>
  <si>
    <t xml:space="preserve">D-04: Harmonogram pracy — 24/7 czy zmianowy?</t>
  </si>
  <si>
    <t xml:space="preserve">D-05: Czy pomieszczenia mają czujniki CO₂ podłączone do regulacji?</t>
  </si>
  <si>
    <t xml:space="preserve">D-06: Zmierzone stężenie CO₂ w pomieszczeniach [ppm] — jeśli znane.</t>
  </si>
  <si>
    <t xml:space="preserve">D-07: Łączny koszt ciepła na ogrzewanie powietrza wentylacyjnego [zł/rok].</t>
  </si>
  <si>
    <t xml:space="preserve">BLOK E — Odzysk ciepła (E-01 do E-06):</t>
  </si>
  <si>
    <t xml:space="preserve">E-01: Ile AHU ma zainstalowany rekuperator?</t>
  </si>
  <si>
    <t xml:space="preserve">E-02: Jaki % powierzchni jest obsługiwany przez AHU z rekuperatorem?</t>
  </si>
  <si>
    <t xml:space="preserve">E-03: Czy rekuperatory są regularnie czyszczone?</t>
  </si>
  <si>
    <t xml:space="preserve">E-04: Czy w zimie odzysk ciepła jest aktywny?</t>
  </si>
  <si>
    <t xml:space="preserve">E-05: Czy rekuperacja wystarczy do ogrzania powietrza nawiewanego?</t>
  </si>
  <si>
    <t xml:space="preserve">E-06: Łączna szacowana moc odzysku ciepła [kW].</t>
  </si>
  <si>
    <t xml:space="preserve">BLOK F — IEQ i zgodność z prawem (F-01 do F-07).</t>
  </si>
  <si>
    <t xml:space="preserve">F-01 do F-07: projekt wentylacji, skargi pracowników, BHP, odciągi miejscowe, hałas, czyszczenie, pomiary.</t>
  </si>
  <si>
    <t xml:space="preserve"> === PO ZAKOŃCZENIU WSZYSTKICH BLOKÓW ===</t>
  </si>
  <si>
    <t xml:space="preserve">'Dziękuję — zebrałem wszystkie dane systemowe. Energy Manager uzupełni obliczenia w Etapie 2.</t>
  </si>
  <si>
    <t xml:space="preserve"> Paszport Systemu Wentylacji zostanie wygenerowany przez Agenta 2.'</t>
  </si>
  <si>
    <t xml:space="preserve">Wpisz: ###DANE_KOMPLETNE###</t>
  </si>
  <si>
    <t xml:space="preserve"> === MAPOWANIE JSON ===</t>
  </si>
  <si>
    <t xml:space="preserve">{</t>
  </si>
  <si>
    <t xml:space="preserve">  'ahu_count': 'A-01',</t>
  </si>
  <si>
    <t xml:space="preserve">  'standalone_fan_count': 'A-02',</t>
  </si>
  <si>
    <t xml:space="preserve">  'total_fan_power_kw': 'A-03',</t>
  </si>
  <si>
    <t xml:space="preserve">  'standalone_fan_power_kw': 'A-04',</t>
  </si>
  <si>
    <t xml:space="preserve">  'total_area_m2': 'A-05',</t>
  </si>
  <si>
    <t xml:space="preserve">  'mechanical_vent_pct': 'A-06',</t>
  </si>
  <si>
    <t xml:space="preserve">  'oldest_system_year': 'A-07',</t>
  </si>
  <si>
    <t xml:space="preserve">  'has_schema': 'A-08',</t>
  </si>
  <si>
    <t xml:space="preserve">  'duct_condition_score': 'C-01',</t>
  </si>
  <si>
    <t xml:space="preserve">  'duct_insulated': 'C-02',</t>
  </si>
  <si>
    <t xml:space="preserve">  'duct_leaks': 'C-03',</t>
  </si>
  <si>
    <t xml:space="preserve">  'duct_leakage_class': 'C-04',</t>
  </si>
  <si>
    <t xml:space="preserve">  'grilles_cleaned': 'C-05',</t>
  </si>
  <si>
    <t xml:space="preserve">  'has_vav': 'C-07',</t>
  </si>
  <si>
    <t xml:space="preserve">  'has_dedicated_meter': 'D-01',</t>
  </si>
  <si>
    <t xml:space="preserve">  'e_annual_kwh': 'D-02',</t>
  </si>
  <si>
    <t xml:space="preserve">  'operating_hours_year': 'D-03',</t>
  </si>
  <si>
    <t xml:space="preserve">  'operating_schedule': 'D-04',</t>
  </si>
  <si>
    <t xml:space="preserve">  'has_co2_sensors': 'D-05',</t>
  </si>
  <si>
    <t xml:space="preserve">  'co2_measured_ppm': 'D-06',</t>
  </si>
  <si>
    <t xml:space="preserve">  'heating_cost_pln': 'D-07',</t>
  </si>
  <si>
    <t xml:space="preserve">  'ahu_with_recuperator': 'E-01',</t>
  </si>
  <si>
    <t xml:space="preserve">  'recuperator_area_pct': 'E-02',</t>
  </si>
  <si>
    <t xml:space="preserve">  'recuperator_cleaned': 'E-03',</t>
  </si>
  <si>
    <t xml:space="preserve">  'recuperator_active_winter': 'E-04',</t>
  </si>
  <si>
    <t xml:space="preserve">  'recuperator_power_kw': 'E-06',</t>
  </si>
  <si>
    <t xml:space="preserve">  'has_piping_schema': 'F-01',</t>
  </si>
  <si>
    <t xml:space="preserve">  'worker_complaints': 'F-02',</t>
  </si>
  <si>
    <t xml:space="preserve">  'bhp_compliant': 'F-03',</t>
  </si>
  <si>
    <t xml:space="preserve">  'has_local_exhaust': 'F-04',</t>
  </si>
  <si>
    <t xml:space="preserve">  'last_duct_cleaning': 'F-06',</t>
  </si>
  <si>
    <t xml:space="preserve">  'airflow_measured': 'F-07'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</si>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</sst>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7A6E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color rgb="FF1A3A5C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2E6DA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1A7A6E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E87722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1A7A6E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7A6E"/>
        <bgColor rgb="FF008080"/>
      </patternFill>
    </fill>
    <fill>
      <patternFill patternType="solid">
        <fgColor rgb="FFD0EEEB"/>
        <bgColor rgb="FFD9F0E0"/>
      </patternFill>
    </fill>
    <fill>
      <patternFill patternType="solid">
        <fgColor rgb="FFFFF2CC"/>
        <bgColor rgb="FFFEF9E7"/>
      </patternFill>
    </fill>
    <fill>
      <patternFill patternType="solid">
        <fgColor rgb="FF1A3A5C"/>
        <bgColor rgb="FF333399"/>
      </patternFill>
    </fill>
    <fill>
      <patternFill patternType="solid">
        <fgColor rgb="FFFFFFFF"/>
        <bgColor rgb="FFFEF9E7"/>
      </patternFill>
    </fill>
    <fill>
      <patternFill patternType="solid">
        <fgColor rgb="FFF4F4F4"/>
        <bgColor rgb="FFF0F4F8"/>
      </patternFill>
    </fill>
    <fill>
      <patternFill patternType="solid">
        <fgColor rgb="FF2E6DA4"/>
        <bgColor rgb="FF1A7A6E"/>
      </patternFill>
    </fill>
    <fill>
      <patternFill patternType="solid">
        <fgColor rgb="FFD6E4F0"/>
        <bgColor rgb="FFD0EEEB"/>
      </patternFill>
    </fill>
    <fill>
      <patternFill patternType="solid">
        <fgColor rgb="FFE87722"/>
        <bgColor rgb="FFFF9900"/>
      </patternFill>
    </fill>
    <fill>
      <patternFill patternType="solid">
        <fgColor rgb="FF6C3483"/>
        <bgColor rgb="FF993366"/>
      </patternFill>
    </fill>
    <fill>
      <patternFill patternType="solid">
        <fgColor rgb="FFC0392B"/>
        <bgColor rgb="FF993366"/>
      </patternFill>
    </fill>
    <fill>
      <patternFill patternType="solid">
        <fgColor rgb="FFEBF3FB"/>
        <bgColor rgb="FFF0F4F8"/>
      </patternFill>
    </fill>
    <fill>
      <patternFill patternType="solid">
        <fgColor rgb="FFF0F4F8"/>
        <bgColor rgb="FFF4F4F4"/>
      </patternFill>
    </fill>
    <fill>
      <patternFill patternType="solid">
        <fgColor rgb="FFFEF9E7"/>
        <bgColor rgb="FFF4F4F4"/>
      </patternFill>
    </fill>
    <fill>
      <patternFill patternType="solid">
        <fgColor rgb="FFE8DAEF"/>
        <bgColor rgb="FFFADBD8"/>
      </patternFill>
    </fill>
    <fill>
      <patternFill patternType="solid">
        <fgColor rgb="FFD9F0E0"/>
        <bgColor rgb="FFD0EEEB"/>
      </patternFill>
    </fill>
    <fill>
      <patternFill patternType="solid">
        <fgColor rgb="FFFADBD8"/>
        <bgColor rgb="FFE8DA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7A6E"/>
      </left>
      <right style="thin">
        <color rgb="FF1A7A6E"/>
      </right>
      <top style="thin">
        <color rgb="FF1A7A6E"/>
      </top>
      <bottom style="thin">
        <color rgb="FF1A7A6E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7950B"/>
      <rgbColor rgb="FF800080"/>
      <rgbColor rgb="FF1A7A6E"/>
      <rgbColor rgb="FFCCCCCC"/>
      <rgbColor rgb="FF7F7F7F"/>
      <rgbColor rgb="FF9999FF"/>
      <rgbColor rgb="FF6C3483"/>
      <rgbColor rgb="FFFFF2CC"/>
      <rgbColor rgb="FFD0EEEB"/>
      <rgbColor rgb="FF660066"/>
      <rgbColor rgb="FFFF8080"/>
      <rgbColor rgb="FF2E6DA4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F0E0"/>
      <rgbColor rgb="FFFEF9E7"/>
      <rgbColor rgb="FFD6E4F0"/>
      <rgbColor rgb="FFF4F4F4"/>
      <rgbColor rgb="FFF0F4F8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4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</row>
    <row r="4" customFormat="false" ht="19.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customFormat="false" ht="21.75" hidden="false" customHeight="true" outlineLevel="0" collapsed="false">
      <c r="A5" s="6" t="s">
        <v>10</v>
      </c>
      <c r="B5" s="6"/>
      <c r="C5" s="6"/>
      <c r="D5" s="6"/>
      <c r="E5" s="6"/>
    </row>
    <row r="6" customFormat="false" ht="36" hidden="false" customHeight="true" outlineLevel="0" collapsed="false">
      <c r="A6" s="7" t="s">
        <v>11</v>
      </c>
      <c r="B6" s="7"/>
      <c r="C6" s="7"/>
      <c r="D6" s="7"/>
      <c r="E6" s="7"/>
    </row>
    <row r="7" customFormat="false" ht="31.5" hidden="false" customHeight="true" outlineLevel="0" collapsed="false">
      <c r="A7" s="8" t="s">
        <v>12</v>
      </c>
      <c r="B7" s="9" t="s">
        <v>13</v>
      </c>
      <c r="C7" s="10"/>
      <c r="D7" s="11" t="s">
        <v>14</v>
      </c>
      <c r="E7" s="12" t="s">
        <v>15</v>
      </c>
    </row>
    <row r="8" customFormat="false" ht="31.5" hidden="false" customHeight="true" outlineLevel="0" collapsed="false">
      <c r="A8" s="8" t="s">
        <v>16</v>
      </c>
      <c r="B8" s="9" t="s">
        <v>17</v>
      </c>
      <c r="C8" s="10"/>
      <c r="D8" s="11" t="s">
        <v>14</v>
      </c>
      <c r="E8" s="12" t="s">
        <v>18</v>
      </c>
    </row>
    <row r="9" customFormat="false" ht="31.5" hidden="false" customHeight="true" outlineLevel="0" collapsed="false">
      <c r="A9" s="8" t="s">
        <v>19</v>
      </c>
      <c r="B9" s="9" t="s">
        <v>20</v>
      </c>
      <c r="C9" s="10"/>
      <c r="D9" s="11" t="s">
        <v>21</v>
      </c>
      <c r="E9" s="12" t="s">
        <v>22</v>
      </c>
    </row>
    <row r="10" customFormat="false" ht="31.5" hidden="false" customHeight="true" outlineLevel="0" collapsed="false">
      <c r="A10" s="8" t="s">
        <v>23</v>
      </c>
      <c r="B10" s="9" t="s">
        <v>24</v>
      </c>
      <c r="C10" s="10"/>
      <c r="D10" s="11" t="s">
        <v>21</v>
      </c>
      <c r="E10" s="12" t="s">
        <v>25</v>
      </c>
    </row>
    <row r="11" customFormat="false" ht="31.5" hidden="false" customHeight="true" outlineLevel="0" collapsed="false">
      <c r="A11" s="8" t="s">
        <v>26</v>
      </c>
      <c r="B11" s="9" t="s">
        <v>27</v>
      </c>
      <c r="C11" s="10"/>
      <c r="D11" s="11" t="s">
        <v>28</v>
      </c>
      <c r="E11" s="12" t="s">
        <v>29</v>
      </c>
    </row>
    <row r="12" customFormat="false" ht="31.5" hidden="false" customHeight="true" outlineLevel="0" collapsed="false">
      <c r="A12" s="8" t="s">
        <v>30</v>
      </c>
      <c r="B12" s="9" t="s">
        <v>31</v>
      </c>
      <c r="C12" s="10"/>
      <c r="D12" s="11" t="s">
        <v>32</v>
      </c>
      <c r="E12" s="12" t="s">
        <v>33</v>
      </c>
    </row>
    <row r="13" customFormat="false" ht="31.5" hidden="false" customHeight="true" outlineLevel="0" collapsed="false">
      <c r="A13" s="8" t="s">
        <v>34</v>
      </c>
      <c r="B13" s="9" t="s">
        <v>35</v>
      </c>
      <c r="C13" s="10"/>
      <c r="D13" s="11" t="s">
        <v>36</v>
      </c>
      <c r="E13" s="12" t="s">
        <v>37</v>
      </c>
    </row>
    <row r="14" customFormat="false" ht="31.5" hidden="false" customHeight="true" outlineLevel="0" collapsed="false">
      <c r="A14" s="8" t="s">
        <v>38</v>
      </c>
      <c r="B14" s="9" t="s">
        <v>39</v>
      </c>
      <c r="C14" s="10"/>
      <c r="D14" s="11"/>
      <c r="E14" s="12" t="s">
        <v>40</v>
      </c>
    </row>
    <row r="15" customFormat="false" ht="21.75" hidden="false" customHeight="true" outlineLevel="0" collapsed="false">
      <c r="A15" s="13" t="s">
        <v>41</v>
      </c>
      <c r="B15" s="13"/>
      <c r="C15" s="13"/>
      <c r="D15" s="13"/>
      <c r="E15" s="13"/>
    </row>
    <row r="16" customFormat="false" ht="30" hidden="false" customHeight="true" outlineLevel="0" collapsed="false">
      <c r="A16" s="14" t="s">
        <v>42</v>
      </c>
      <c r="B16" s="14"/>
      <c r="C16" s="14"/>
      <c r="D16" s="14"/>
      <c r="E16" s="14"/>
    </row>
    <row r="17" customFormat="false" ht="36" hidden="false" customHeight="true" outlineLevel="0" collapsed="false">
      <c r="A17" s="15" t="s">
        <v>43</v>
      </c>
      <c r="B17" s="15" t="s">
        <v>44</v>
      </c>
      <c r="C17" s="15" t="s">
        <v>45</v>
      </c>
      <c r="D17" s="15" t="s">
        <v>46</v>
      </c>
      <c r="E17" s="15" t="s">
        <v>47</v>
      </c>
    </row>
    <row r="18" customFormat="false" ht="21.75" hidden="false" customHeight="true" outlineLevel="0" collapsed="false">
      <c r="A18" s="10"/>
      <c r="B18" s="10"/>
      <c r="C18" s="10"/>
      <c r="D18" s="10"/>
      <c r="E18" s="10"/>
    </row>
    <row r="19" customFormat="false" ht="21.75" hidden="false" customHeight="true" outlineLevel="0" collapsed="false">
      <c r="A19" s="16"/>
      <c r="B19" s="16"/>
      <c r="C19" s="16"/>
      <c r="D19" s="16"/>
      <c r="E19" s="16"/>
    </row>
    <row r="20" customFormat="false" ht="21.75" hidden="false" customHeight="true" outlineLevel="0" collapsed="false">
      <c r="A20" s="10"/>
      <c r="B20" s="10"/>
      <c r="C20" s="10"/>
      <c r="D20" s="10"/>
      <c r="E20" s="10"/>
    </row>
    <row r="21" customFormat="false" ht="21.75" hidden="false" customHeight="true" outlineLevel="0" collapsed="false">
      <c r="A21" s="16"/>
      <c r="B21" s="16"/>
      <c r="C21" s="16"/>
      <c r="D21" s="16"/>
      <c r="E21" s="16"/>
    </row>
    <row r="22" customFormat="false" ht="21.75" hidden="false" customHeight="true" outlineLevel="0" collapsed="false">
      <c r="A22" s="10"/>
      <c r="B22" s="10"/>
      <c r="C22" s="10"/>
      <c r="D22" s="10"/>
      <c r="E22" s="10"/>
    </row>
    <row r="23" customFormat="false" ht="21.75" hidden="false" customHeight="true" outlineLevel="0" collapsed="false">
      <c r="A23" s="16"/>
      <c r="B23" s="16"/>
      <c r="C23" s="16"/>
      <c r="D23" s="16"/>
      <c r="E23" s="16"/>
    </row>
    <row r="24" customFormat="false" ht="21.75" hidden="false" customHeight="true" outlineLevel="0" collapsed="false">
      <c r="A24" s="10"/>
      <c r="B24" s="10"/>
      <c r="C24" s="10"/>
      <c r="D24" s="10"/>
      <c r="E24" s="10"/>
    </row>
    <row r="25" customFormat="false" ht="21.75" hidden="false" customHeight="true" outlineLevel="0" collapsed="false">
      <c r="A25" s="16"/>
      <c r="B25" s="16"/>
      <c r="C25" s="16"/>
      <c r="D25" s="16"/>
      <c r="E25" s="16"/>
    </row>
    <row r="26" customFormat="false" ht="21.75" hidden="false" customHeight="true" outlineLevel="0" collapsed="false">
      <c r="A26" s="10"/>
      <c r="B26" s="10"/>
      <c r="C26" s="10"/>
      <c r="D26" s="10"/>
      <c r="E26" s="10"/>
    </row>
    <row r="27" customFormat="false" ht="21.75" hidden="false" customHeight="true" outlineLevel="0" collapsed="false">
      <c r="A27" s="16"/>
      <c r="B27" s="16"/>
      <c r="C27" s="16"/>
      <c r="D27" s="16"/>
      <c r="E27" s="16"/>
    </row>
    <row r="28" customFormat="false" ht="21.75" hidden="false" customHeight="true" outlineLevel="0" collapsed="false">
      <c r="A28" s="17" t="s">
        <v>48</v>
      </c>
      <c r="B28" s="17"/>
      <c r="C28" s="17"/>
      <c r="D28" s="17"/>
      <c r="E28" s="17"/>
    </row>
    <row r="29" customFormat="false" ht="31.5" hidden="false" customHeight="true" outlineLevel="0" collapsed="false">
      <c r="A29" s="8" t="s">
        <v>49</v>
      </c>
      <c r="B29" s="9" t="s">
        <v>50</v>
      </c>
      <c r="C29" s="10"/>
      <c r="D29" s="11"/>
      <c r="E29" s="12" t="s">
        <v>51</v>
      </c>
    </row>
    <row r="30" customFormat="false" ht="31.5" hidden="false" customHeight="true" outlineLevel="0" collapsed="false">
      <c r="A30" s="8" t="s">
        <v>52</v>
      </c>
      <c r="B30" s="9" t="s">
        <v>53</v>
      </c>
      <c r="C30" s="10"/>
      <c r="D30" s="11"/>
      <c r="E30" s="12" t="s">
        <v>54</v>
      </c>
    </row>
    <row r="31" customFormat="false" ht="31.5" hidden="false" customHeight="true" outlineLevel="0" collapsed="false">
      <c r="A31" s="8" t="s">
        <v>55</v>
      </c>
      <c r="B31" s="9" t="s">
        <v>56</v>
      </c>
      <c r="C31" s="10"/>
      <c r="D31" s="11"/>
      <c r="E31" s="12" t="s">
        <v>57</v>
      </c>
    </row>
    <row r="32" customFormat="false" ht="31.5" hidden="false" customHeight="true" outlineLevel="0" collapsed="false">
      <c r="A32" s="8" t="s">
        <v>58</v>
      </c>
      <c r="B32" s="9" t="s">
        <v>59</v>
      </c>
      <c r="C32" s="10"/>
      <c r="D32" s="11"/>
      <c r="E32" s="12" t="s">
        <v>60</v>
      </c>
    </row>
    <row r="33" customFormat="false" ht="31.5" hidden="false" customHeight="true" outlineLevel="0" collapsed="false">
      <c r="A33" s="8" t="s">
        <v>61</v>
      </c>
      <c r="B33" s="9" t="s">
        <v>62</v>
      </c>
      <c r="C33" s="10"/>
      <c r="D33" s="11"/>
      <c r="E33" s="12" t="s">
        <v>63</v>
      </c>
    </row>
    <row r="34" customFormat="false" ht="31.5" hidden="false" customHeight="true" outlineLevel="0" collapsed="false">
      <c r="A34" s="8" t="s">
        <v>64</v>
      </c>
      <c r="B34" s="9" t="s">
        <v>65</v>
      </c>
      <c r="C34" s="10"/>
      <c r="D34" s="11"/>
      <c r="E34" s="12" t="s">
        <v>66</v>
      </c>
    </row>
    <row r="35" customFormat="false" ht="31.5" hidden="false" customHeight="true" outlineLevel="0" collapsed="false">
      <c r="A35" s="8" t="s">
        <v>67</v>
      </c>
      <c r="B35" s="9" t="s">
        <v>68</v>
      </c>
      <c r="C35" s="10"/>
      <c r="D35" s="11"/>
      <c r="E35" s="12" t="s">
        <v>69</v>
      </c>
    </row>
    <row r="36" customFormat="false" ht="21.75" hidden="false" customHeight="true" outlineLevel="0" collapsed="false">
      <c r="A36" s="18" t="s">
        <v>70</v>
      </c>
      <c r="B36" s="18"/>
      <c r="C36" s="18"/>
      <c r="D36" s="18"/>
      <c r="E36" s="18"/>
    </row>
    <row r="37" customFormat="false" ht="31.5" hidden="false" customHeight="true" outlineLevel="0" collapsed="false">
      <c r="A37" s="8" t="s">
        <v>71</v>
      </c>
      <c r="B37" s="9" t="s">
        <v>72</v>
      </c>
      <c r="C37" s="10"/>
      <c r="D37" s="11"/>
      <c r="E37" s="12" t="s">
        <v>73</v>
      </c>
    </row>
    <row r="38" customFormat="false" ht="31.5" hidden="false" customHeight="true" outlineLevel="0" collapsed="false">
      <c r="A38" s="8" t="s">
        <v>74</v>
      </c>
      <c r="B38" s="9" t="s">
        <v>75</v>
      </c>
      <c r="C38" s="10"/>
      <c r="D38" s="11" t="s">
        <v>76</v>
      </c>
      <c r="E38" s="12" t="s">
        <v>77</v>
      </c>
    </row>
    <row r="39" customFormat="false" ht="31.5" hidden="false" customHeight="true" outlineLevel="0" collapsed="false">
      <c r="A39" s="8" t="s">
        <v>78</v>
      </c>
      <c r="B39" s="9" t="s">
        <v>79</v>
      </c>
      <c r="C39" s="10"/>
      <c r="D39" s="11" t="s">
        <v>80</v>
      </c>
      <c r="E39" s="12" t="s">
        <v>81</v>
      </c>
    </row>
    <row r="40" customFormat="false" ht="31.5" hidden="false" customHeight="true" outlineLevel="0" collapsed="false">
      <c r="A40" s="8" t="s">
        <v>82</v>
      </c>
      <c r="B40" s="9" t="s">
        <v>83</v>
      </c>
      <c r="C40" s="10"/>
      <c r="D40" s="11"/>
      <c r="E40" s="12" t="s">
        <v>84</v>
      </c>
    </row>
    <row r="41" customFormat="false" ht="31.5" hidden="false" customHeight="true" outlineLevel="0" collapsed="false">
      <c r="A41" s="8" t="s">
        <v>85</v>
      </c>
      <c r="B41" s="9" t="s">
        <v>86</v>
      </c>
      <c r="C41" s="10"/>
      <c r="D41" s="11"/>
      <c r="E41" s="12" t="s">
        <v>87</v>
      </c>
    </row>
    <row r="42" customFormat="false" ht="31.5" hidden="false" customHeight="true" outlineLevel="0" collapsed="false">
      <c r="A42" s="8" t="s">
        <v>88</v>
      </c>
      <c r="B42" s="9" t="s">
        <v>89</v>
      </c>
      <c r="C42" s="10"/>
      <c r="D42" s="11" t="s">
        <v>90</v>
      </c>
      <c r="E42" s="12" t="s">
        <v>91</v>
      </c>
    </row>
    <row r="43" customFormat="false" ht="31.5" hidden="false" customHeight="true" outlineLevel="0" collapsed="false">
      <c r="A43" s="8" t="s">
        <v>92</v>
      </c>
      <c r="B43" s="9" t="s">
        <v>93</v>
      </c>
      <c r="C43" s="10"/>
      <c r="D43" s="11" t="s">
        <v>94</v>
      </c>
      <c r="E43" s="12" t="s">
        <v>95</v>
      </c>
    </row>
    <row r="44" customFormat="false" ht="21.75" hidden="false" customHeight="true" outlineLevel="0" collapsed="false">
      <c r="A44" s="19" t="s">
        <v>96</v>
      </c>
      <c r="B44" s="19"/>
      <c r="C44" s="19"/>
      <c r="D44" s="19"/>
      <c r="E44" s="19"/>
    </row>
    <row r="45" customFormat="false" ht="31.5" hidden="false" customHeight="true" outlineLevel="0" collapsed="false">
      <c r="A45" s="8" t="s">
        <v>97</v>
      </c>
      <c r="B45" s="9" t="s">
        <v>98</v>
      </c>
      <c r="C45" s="10"/>
      <c r="D45" s="11" t="s">
        <v>14</v>
      </c>
      <c r="E45" s="12" t="s">
        <v>99</v>
      </c>
    </row>
    <row r="46" customFormat="false" ht="31.5" hidden="false" customHeight="true" outlineLevel="0" collapsed="false">
      <c r="A46" s="8" t="s">
        <v>100</v>
      </c>
      <c r="B46" s="9" t="s">
        <v>101</v>
      </c>
      <c r="C46" s="10"/>
      <c r="D46" s="11" t="s">
        <v>32</v>
      </c>
      <c r="E46" s="12" t="s">
        <v>102</v>
      </c>
    </row>
    <row r="47" customFormat="false" ht="31.5" hidden="false" customHeight="true" outlineLevel="0" collapsed="false">
      <c r="A47" s="8" t="s">
        <v>103</v>
      </c>
      <c r="B47" s="9" t="s">
        <v>104</v>
      </c>
      <c r="C47" s="10"/>
      <c r="D47" s="11"/>
      <c r="E47" s="12" t="s">
        <v>105</v>
      </c>
    </row>
    <row r="48" customFormat="false" ht="31.5" hidden="false" customHeight="true" outlineLevel="0" collapsed="false">
      <c r="A48" s="8" t="s">
        <v>106</v>
      </c>
      <c r="B48" s="9" t="s">
        <v>107</v>
      </c>
      <c r="C48" s="10"/>
      <c r="D48" s="11"/>
      <c r="E48" s="12" t="s">
        <v>108</v>
      </c>
    </row>
    <row r="49" customFormat="false" ht="31.5" hidden="false" customHeight="true" outlineLevel="0" collapsed="false">
      <c r="A49" s="8" t="s">
        <v>109</v>
      </c>
      <c r="B49" s="9" t="s">
        <v>110</v>
      </c>
      <c r="C49" s="10"/>
      <c r="D49" s="11"/>
      <c r="E49" s="12" t="s">
        <v>111</v>
      </c>
    </row>
    <row r="50" customFormat="false" ht="31.5" hidden="false" customHeight="true" outlineLevel="0" collapsed="false">
      <c r="A50" s="8" t="s">
        <v>112</v>
      </c>
      <c r="B50" s="9" t="s">
        <v>113</v>
      </c>
      <c r="C50" s="10"/>
      <c r="D50" s="11" t="s">
        <v>21</v>
      </c>
      <c r="E50" s="12" t="s">
        <v>114</v>
      </c>
    </row>
    <row r="51" customFormat="false" ht="21.75" hidden="false" customHeight="true" outlineLevel="0" collapsed="false">
      <c r="A51" s="20" t="s">
        <v>115</v>
      </c>
      <c r="B51" s="20"/>
      <c r="C51" s="20"/>
      <c r="D51" s="20"/>
      <c r="E51" s="20"/>
    </row>
    <row r="52" customFormat="false" ht="31.5" hidden="false" customHeight="true" outlineLevel="0" collapsed="false">
      <c r="A52" s="8" t="s">
        <v>116</v>
      </c>
      <c r="B52" s="9" t="s">
        <v>117</v>
      </c>
      <c r="C52" s="10"/>
      <c r="D52" s="11"/>
      <c r="E52" s="12" t="s">
        <v>118</v>
      </c>
    </row>
    <row r="53" customFormat="false" ht="31.5" hidden="false" customHeight="true" outlineLevel="0" collapsed="false">
      <c r="A53" s="8" t="s">
        <v>119</v>
      </c>
      <c r="B53" s="9" t="s">
        <v>120</v>
      </c>
      <c r="C53" s="10"/>
      <c r="D53" s="11"/>
      <c r="E53" s="12" t="s">
        <v>121</v>
      </c>
    </row>
    <row r="54" customFormat="false" ht="31.5" hidden="false" customHeight="true" outlineLevel="0" collapsed="false">
      <c r="A54" s="8" t="s">
        <v>122</v>
      </c>
      <c r="B54" s="9" t="s">
        <v>123</v>
      </c>
      <c r="C54" s="10"/>
      <c r="D54" s="11"/>
      <c r="E54" s="12" t="s">
        <v>124</v>
      </c>
    </row>
    <row r="55" customFormat="false" ht="31.5" hidden="false" customHeight="true" outlineLevel="0" collapsed="false">
      <c r="A55" s="8" t="s">
        <v>125</v>
      </c>
      <c r="B55" s="9" t="s">
        <v>126</v>
      </c>
      <c r="C55" s="10"/>
      <c r="D55" s="11"/>
      <c r="E55" s="12" t="s">
        <v>127</v>
      </c>
    </row>
    <row r="56" customFormat="false" ht="31.5" hidden="false" customHeight="true" outlineLevel="0" collapsed="false">
      <c r="A56" s="8" t="s">
        <v>128</v>
      </c>
      <c r="B56" s="9" t="s">
        <v>129</v>
      </c>
      <c r="C56" s="10"/>
      <c r="D56" s="11" t="s">
        <v>130</v>
      </c>
      <c r="E56" s="12" t="s">
        <v>131</v>
      </c>
    </row>
    <row r="57" customFormat="false" ht="31.5" hidden="false" customHeight="true" outlineLevel="0" collapsed="false">
      <c r="A57" s="8" t="s">
        <v>132</v>
      </c>
      <c r="B57" s="9" t="s">
        <v>133</v>
      </c>
      <c r="C57" s="10"/>
      <c r="D57" s="11"/>
      <c r="E57" s="12" t="s">
        <v>134</v>
      </c>
    </row>
    <row r="58" customFormat="false" ht="31.5" hidden="false" customHeight="true" outlineLevel="0" collapsed="false">
      <c r="A58" s="8" t="s">
        <v>135</v>
      </c>
      <c r="B58" s="9" t="s">
        <v>136</v>
      </c>
      <c r="C58" s="10"/>
      <c r="D58" s="11"/>
      <c r="E58" s="12" t="s">
        <v>137</v>
      </c>
    </row>
    <row r="59" customFormat="false" ht="13.5" hidden="false" customHeight="true" outlineLevel="0" collapsed="false">
      <c r="A59" s="21" t="s">
        <v>138</v>
      </c>
      <c r="B59" s="21"/>
      <c r="C59" s="21"/>
      <c r="D59" s="21"/>
      <c r="E59" s="21"/>
    </row>
  </sheetData>
  <mergeCells count="11">
    <mergeCell ref="A1:E1"/>
    <mergeCell ref="A2:E2"/>
    <mergeCell ref="A5:E5"/>
    <mergeCell ref="A6:E6"/>
    <mergeCell ref="A15:E15"/>
    <mergeCell ref="A16:E16"/>
    <mergeCell ref="A28:E28"/>
    <mergeCell ref="A36:E36"/>
    <mergeCell ref="A44:E44"/>
    <mergeCell ref="A51:E51"/>
    <mergeCell ref="A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42" hidden="false" customHeight="true" outlineLevel="0" collapsed="false">
      <c r="A1" s="1" t="s">
        <v>139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140</v>
      </c>
      <c r="B2" s="2"/>
      <c r="C2" s="2"/>
      <c r="D2" s="2"/>
      <c r="E2" s="2"/>
    </row>
    <row r="3" customFormat="false" ht="19.5" hidden="false" customHeight="true" outlineLevel="0" collapsed="false">
      <c r="A3" s="5" t="s">
        <v>141</v>
      </c>
      <c r="B3" s="5" t="s">
        <v>142</v>
      </c>
      <c r="C3" s="5" t="s">
        <v>8</v>
      </c>
      <c r="D3" s="5" t="s">
        <v>143</v>
      </c>
      <c r="E3" s="5" t="s">
        <v>144</v>
      </c>
    </row>
    <row r="4" customFormat="false" ht="21.75" hidden="false" customHeight="true" outlineLevel="0" collapsed="false">
      <c r="A4" s="6" t="s">
        <v>145</v>
      </c>
      <c r="B4" s="6"/>
      <c r="C4" s="6"/>
      <c r="D4" s="6"/>
      <c r="E4" s="6"/>
    </row>
    <row r="5" customFormat="false" ht="18" hidden="false" customHeight="true" outlineLevel="0" collapsed="false">
      <c r="A5" s="22" t="s">
        <v>146</v>
      </c>
      <c r="B5" s="22" t="s">
        <v>147</v>
      </c>
      <c r="C5" s="22" t="s">
        <v>148</v>
      </c>
      <c r="D5" s="22" t="s">
        <v>149</v>
      </c>
      <c r="E5" s="22" t="s">
        <v>150</v>
      </c>
    </row>
    <row r="6" customFormat="false" ht="21.75" hidden="false" customHeight="true" outlineLevel="0" collapsed="false">
      <c r="A6" s="23"/>
      <c r="B6" s="23"/>
      <c r="C6" s="23"/>
      <c r="D6" s="23"/>
      <c r="E6" s="23"/>
    </row>
    <row r="7" customFormat="false" ht="21.75" hidden="false" customHeight="true" outlineLevel="0" collapsed="false">
      <c r="A7" s="16"/>
      <c r="B7" s="16"/>
      <c r="C7" s="16"/>
      <c r="D7" s="16"/>
      <c r="E7" s="16"/>
    </row>
    <row r="8" customFormat="false" ht="21.75" hidden="false" customHeight="true" outlineLevel="0" collapsed="false">
      <c r="A8" s="23"/>
      <c r="B8" s="23"/>
      <c r="C8" s="23"/>
      <c r="D8" s="23"/>
      <c r="E8" s="23"/>
    </row>
    <row r="9" customFormat="false" ht="21.75" hidden="false" customHeight="true" outlineLevel="0" collapsed="false">
      <c r="A9" s="16"/>
      <c r="B9" s="16"/>
      <c r="C9" s="16"/>
      <c r="D9" s="16"/>
      <c r="E9" s="16"/>
    </row>
    <row r="10" customFormat="false" ht="21.75" hidden="false" customHeight="true" outlineLevel="0" collapsed="false">
      <c r="A10" s="23"/>
      <c r="B10" s="23"/>
      <c r="C10" s="23"/>
      <c r="D10" s="23"/>
      <c r="E10" s="23"/>
    </row>
    <row r="11" customFormat="false" ht="21.75" hidden="false" customHeight="true" outlineLevel="0" collapsed="false">
      <c r="A11" s="16"/>
      <c r="B11" s="16"/>
      <c r="C11" s="16"/>
      <c r="D11" s="16"/>
      <c r="E11" s="16"/>
    </row>
    <row r="12" customFormat="false" ht="21.75" hidden="false" customHeight="true" outlineLevel="0" collapsed="false">
      <c r="A12" s="23"/>
      <c r="B12" s="23"/>
      <c r="C12" s="23"/>
      <c r="D12" s="23"/>
      <c r="E12" s="23"/>
    </row>
    <row r="13" customFormat="false" ht="21.75" hidden="false" customHeight="true" outlineLevel="0" collapsed="false">
      <c r="A13" s="16"/>
      <c r="B13" s="16"/>
      <c r="C13" s="16"/>
      <c r="D13" s="16"/>
      <c r="E13" s="16"/>
    </row>
    <row r="14" customFormat="false" ht="21.75" hidden="false" customHeight="true" outlineLevel="0" collapsed="false">
      <c r="A14" s="24" t="s">
        <v>151</v>
      </c>
      <c r="B14" s="25" t="n">
        <f aca="false">SUM(B6:B13)</f>
        <v>0</v>
      </c>
      <c r="C14" s="25" t="n">
        <f aca="false">SUM(C6:C13)</f>
        <v>0</v>
      </c>
      <c r="D14" s="25" t="str">
        <f aca="false">IF(COUNTA(D6:D13)&gt;0,AVERAGE(D6:D13),"")</f>
        <v/>
      </c>
      <c r="E14" s="25" t="n">
        <f aca="false">SUM(E6:E13)</f>
        <v>0</v>
      </c>
    </row>
    <row r="15" customFormat="false" ht="21.75" hidden="false" customHeight="true" outlineLevel="0" collapsed="false">
      <c r="A15" s="13" t="s">
        <v>152</v>
      </c>
      <c r="B15" s="13"/>
      <c r="C15" s="13"/>
      <c r="D15" s="13"/>
      <c r="E15" s="13"/>
    </row>
    <row r="16" customFormat="false" ht="27.75" hidden="false" customHeight="true" outlineLevel="0" collapsed="false">
      <c r="A16" s="9" t="s">
        <v>153</v>
      </c>
      <c r="B16" s="23"/>
      <c r="C16" s="11" t="s">
        <v>76</v>
      </c>
      <c r="D16" s="26" t="s">
        <v>154</v>
      </c>
      <c r="E16" s="12" t="s">
        <v>155</v>
      </c>
    </row>
    <row r="17" customFormat="false" ht="27.75" hidden="false" customHeight="true" outlineLevel="0" collapsed="false">
      <c r="A17" s="9" t="s">
        <v>156</v>
      </c>
      <c r="B17" s="23"/>
      <c r="C17" s="11" t="s">
        <v>76</v>
      </c>
      <c r="D17" s="26" t="s">
        <v>157</v>
      </c>
      <c r="E17" s="12" t="s">
        <v>158</v>
      </c>
    </row>
    <row r="18" customFormat="false" ht="27.75" hidden="false" customHeight="true" outlineLevel="0" collapsed="false">
      <c r="A18" s="9" t="s">
        <v>159</v>
      </c>
      <c r="B18" s="23"/>
      <c r="C18" s="11" t="s">
        <v>76</v>
      </c>
      <c r="D18" s="26" t="s">
        <v>160</v>
      </c>
      <c r="E18" s="12" t="s">
        <v>161</v>
      </c>
    </row>
    <row r="19" customFormat="false" ht="27.75" hidden="false" customHeight="true" outlineLevel="0" collapsed="false">
      <c r="A19" s="9" t="s">
        <v>162</v>
      </c>
      <c r="B19" s="27" t="str">
        <f aca="false">IF(AND(B16&lt;&gt;"",B17&lt;&gt;"",B18&lt;&gt;""),B16+B17+B18,"")</f>
        <v/>
      </c>
      <c r="C19" s="11" t="s">
        <v>76</v>
      </c>
      <c r="D19" s="26" t="s">
        <v>163</v>
      </c>
      <c r="E19" s="12" t="s">
        <v>164</v>
      </c>
    </row>
    <row r="20" customFormat="false" ht="27.75" hidden="false" customHeight="true" outlineLevel="0" collapsed="false">
      <c r="A20" s="9" t="s">
        <v>165</v>
      </c>
      <c r="B20" s="23"/>
      <c r="C20" s="11" t="s">
        <v>166</v>
      </c>
      <c r="D20" s="26" t="s">
        <v>167</v>
      </c>
      <c r="E20" s="12" t="s">
        <v>168</v>
      </c>
    </row>
    <row r="21" customFormat="false" ht="27.75" hidden="false" customHeight="true" outlineLevel="0" collapsed="false">
      <c r="A21" s="9" t="s">
        <v>169</v>
      </c>
      <c r="B21" s="23"/>
      <c r="C21" s="11" t="s">
        <v>166</v>
      </c>
      <c r="D21" s="26" t="s">
        <v>170</v>
      </c>
      <c r="E21" s="12" t="s">
        <v>171</v>
      </c>
    </row>
    <row r="22" customFormat="false" ht="27.75" hidden="false" customHeight="true" outlineLevel="0" collapsed="false">
      <c r="A22" s="9" t="s">
        <v>172</v>
      </c>
      <c r="B22" s="23"/>
      <c r="C22" s="11" t="s">
        <v>80</v>
      </c>
      <c r="D22" s="26" t="s">
        <v>173</v>
      </c>
      <c r="E22" s="12" t="s">
        <v>174</v>
      </c>
    </row>
    <row r="23" customFormat="false" ht="27.75" hidden="false" customHeight="true" outlineLevel="0" collapsed="false">
      <c r="A23" s="9" t="s">
        <v>175</v>
      </c>
      <c r="B23" s="27" t="n">
        <f aca="false">IF(C14&lt;&gt;"",C14,"")</f>
        <v>0</v>
      </c>
      <c r="C23" s="11" t="s">
        <v>176</v>
      </c>
      <c r="D23" s="26" t="s">
        <v>177</v>
      </c>
      <c r="E23" s="12" t="s">
        <v>178</v>
      </c>
    </row>
    <row r="24" customFormat="false" ht="27.75" hidden="false" customHeight="true" outlineLevel="0" collapsed="false">
      <c r="A24" s="9" t="s">
        <v>179</v>
      </c>
      <c r="B24" s="27" t="n">
        <f aca="false">IF(B14&lt;&gt;"",B14,"")</f>
        <v>0</v>
      </c>
      <c r="C24" s="11" t="s">
        <v>21</v>
      </c>
      <c r="D24" s="26" t="s">
        <v>177</v>
      </c>
      <c r="E24" s="12" t="s">
        <v>180</v>
      </c>
    </row>
    <row r="25" customFormat="false" ht="27.75" hidden="false" customHeight="true" outlineLevel="0" collapsed="false">
      <c r="A25" s="9" t="s">
        <v>181</v>
      </c>
      <c r="B25" s="27" t="n">
        <f aca="false">IF(E14&lt;&gt;"",E14,"")</f>
        <v>0</v>
      </c>
      <c r="C25" s="11" t="s">
        <v>28</v>
      </c>
      <c r="D25" s="26" t="s">
        <v>177</v>
      </c>
      <c r="E25" s="12" t="s">
        <v>182</v>
      </c>
    </row>
    <row r="26" customFormat="false" ht="21.75" hidden="false" customHeight="true" outlineLevel="0" collapsed="false">
      <c r="A26" s="17" t="s">
        <v>183</v>
      </c>
      <c r="B26" s="17"/>
      <c r="C26" s="17"/>
      <c r="D26" s="17"/>
      <c r="E26" s="17"/>
    </row>
    <row r="27" customFormat="false" ht="30" hidden="false" customHeight="true" outlineLevel="0" collapsed="false">
      <c r="A27" s="7" t="s">
        <v>184</v>
      </c>
      <c r="B27" s="7"/>
      <c r="C27" s="7"/>
      <c r="D27" s="7"/>
      <c r="E27" s="7"/>
    </row>
    <row r="28" customFormat="false" ht="27.75" hidden="false" customHeight="true" outlineLevel="0" collapsed="false">
      <c r="A28" s="9" t="s">
        <v>185</v>
      </c>
      <c r="B28" s="27" t="str">
        <f aca="false">IF(AND(B24&lt;&gt;"",B23&lt;&gt;"",B23&gt;0),B24*1000/(B23/3600),"")</f>
        <v/>
      </c>
      <c r="C28" s="11" t="s">
        <v>186</v>
      </c>
      <c r="D28" s="26" t="s">
        <v>187</v>
      </c>
      <c r="E28" s="12" t="s">
        <v>188</v>
      </c>
    </row>
    <row r="29" customFormat="false" ht="27.75" hidden="false" customHeight="true" outlineLevel="0" collapsed="false">
      <c r="A29" s="9" t="s">
        <v>189</v>
      </c>
      <c r="B29" s="27" t="str">
        <f aca="false">IF(B28="","Brak danych",IF(B28&lt;500,"SFP1 ★★★ (&lt; 500 W/(m³/s))",IF(B28&lt;750,"SFP2 ★★ (&lt; 750)",IF(B28&lt;1250,"SFP3 ★ (&lt; 1250)",IF(B28&lt;2000,"SFP5 — (&lt; 2000)","SFP7 ✗ (&gt; 2000) — nieefektywny")))))</f>
        <v>Brak danych</v>
      </c>
      <c r="C29" s="11"/>
      <c r="D29" s="26" t="s">
        <v>187</v>
      </c>
      <c r="E29" s="12" t="s">
        <v>190</v>
      </c>
    </row>
    <row r="30" customFormat="false" ht="27.75" hidden="false" customHeight="true" outlineLevel="0" collapsed="false">
      <c r="A30" s="9" t="s">
        <v>191</v>
      </c>
      <c r="B30" s="27" t="str">
        <f aca="false">IF(AND(B16&lt;&gt;"",B25&lt;&gt;"",B25&gt;0),B16/B25,"")</f>
        <v/>
      </c>
      <c r="C30" s="11" t="s">
        <v>192</v>
      </c>
      <c r="D30" s="26" t="s">
        <v>163</v>
      </c>
      <c r="E30" s="12" t="s">
        <v>193</v>
      </c>
    </row>
    <row r="31" customFormat="false" ht="27.75" hidden="false" customHeight="true" outlineLevel="0" collapsed="false">
      <c r="A31" s="9" t="s">
        <v>194</v>
      </c>
      <c r="B31" s="27" t="str">
        <f aca="false">IF(AND(B19&lt;&gt;"",B25&lt;&gt;"",B25&gt;0),B19/B25,"")</f>
        <v/>
      </c>
      <c r="C31" s="11" t="s">
        <v>192</v>
      </c>
      <c r="D31" s="26" t="s">
        <v>163</v>
      </c>
      <c r="E31" s="12" t="s">
        <v>195</v>
      </c>
    </row>
    <row r="32" customFormat="false" ht="27.75" hidden="false" customHeight="true" outlineLevel="0" collapsed="false">
      <c r="A32" s="9" t="s">
        <v>196</v>
      </c>
      <c r="B32" s="27" t="str">
        <f aca="false">IF(AND(B23&lt;&gt;"",B25&lt;&gt;"",B25&gt;0),B23/(B25*3),"")</f>
        <v/>
      </c>
      <c r="C32" s="11" t="s">
        <v>197</v>
      </c>
      <c r="D32" s="26" t="s">
        <v>198</v>
      </c>
      <c r="E32" s="12" t="s">
        <v>199</v>
      </c>
    </row>
    <row r="33" customFormat="false" ht="27.75" hidden="false" customHeight="true" outlineLevel="0" collapsed="false">
      <c r="A33" s="9" t="s">
        <v>200</v>
      </c>
      <c r="B33" s="27" t="str">
        <f aca="false">IF(AND(B16&lt;&gt;"",B20&lt;&gt;""),B16*B20,"")</f>
        <v/>
      </c>
      <c r="C33" s="11" t="s">
        <v>94</v>
      </c>
      <c r="D33" s="26" t="s">
        <v>163</v>
      </c>
      <c r="E33" s="12" t="s">
        <v>201</v>
      </c>
    </row>
    <row r="34" customFormat="false" ht="27.75" hidden="false" customHeight="true" outlineLevel="0" collapsed="false">
      <c r="A34" s="9" t="s">
        <v>202</v>
      </c>
      <c r="B34" s="27" t="str">
        <f aca="false">IF(AND(B17&lt;&gt;"",B21&lt;&gt;""),B17*B21,"")</f>
        <v/>
      </c>
      <c r="C34" s="11" t="s">
        <v>94</v>
      </c>
      <c r="D34" s="26" t="s">
        <v>163</v>
      </c>
      <c r="E34" s="12" t="s">
        <v>203</v>
      </c>
    </row>
    <row r="35" customFormat="false" ht="27.75" hidden="false" customHeight="true" outlineLevel="0" collapsed="false">
      <c r="A35" s="9" t="s">
        <v>204</v>
      </c>
      <c r="B35" s="27" t="str">
        <f aca="false">IF(AND(B32&lt;&gt;"",B33&lt;&gt;""),B32+B33,"")</f>
        <v/>
      </c>
      <c r="C35" s="11" t="s">
        <v>94</v>
      </c>
      <c r="D35" s="26" t="s">
        <v>163</v>
      </c>
      <c r="E35" s="12" t="s">
        <v>205</v>
      </c>
    </row>
    <row r="36" customFormat="false" ht="27.75" hidden="false" customHeight="true" outlineLevel="0" collapsed="false">
      <c r="A36" s="9" t="s">
        <v>206</v>
      </c>
      <c r="B36" s="23"/>
      <c r="C36" s="11" t="s">
        <v>32</v>
      </c>
      <c r="D36" s="26" t="s">
        <v>207</v>
      </c>
      <c r="E36" s="12" t="s">
        <v>208</v>
      </c>
    </row>
    <row r="37" customFormat="false" ht="27.75" hidden="false" customHeight="true" outlineLevel="0" collapsed="false">
      <c r="A37" s="9" t="s">
        <v>209</v>
      </c>
      <c r="B37" s="23"/>
      <c r="C37" s="11" t="s">
        <v>32</v>
      </c>
      <c r="D37" s="26" t="s">
        <v>210</v>
      </c>
      <c r="E37" s="12" t="s">
        <v>211</v>
      </c>
    </row>
    <row r="38" customFormat="false" ht="21.75" hidden="false" customHeight="true" outlineLevel="0" collapsed="false">
      <c r="A38" s="18" t="s">
        <v>212</v>
      </c>
      <c r="B38" s="18"/>
      <c r="C38" s="18"/>
      <c r="D38" s="18"/>
      <c r="E38" s="18"/>
    </row>
    <row r="39" customFormat="false" ht="30" hidden="false" customHeight="true" outlineLevel="0" collapsed="false">
      <c r="A39" s="28" t="s">
        <v>213</v>
      </c>
      <c r="B39" s="28"/>
      <c r="C39" s="28"/>
      <c r="D39" s="28"/>
      <c r="E39" s="28"/>
    </row>
    <row r="40" customFormat="false" ht="27.75" hidden="false" customHeight="true" outlineLevel="0" collapsed="false">
      <c r="A40" s="9" t="s">
        <v>214</v>
      </c>
      <c r="B40" s="23"/>
      <c r="C40" s="11" t="s">
        <v>76</v>
      </c>
      <c r="D40" s="26" t="s">
        <v>215</v>
      </c>
      <c r="E40" s="12" t="s">
        <v>216</v>
      </c>
    </row>
    <row r="41" customFormat="false" ht="27.75" hidden="false" customHeight="true" outlineLevel="0" collapsed="false">
      <c r="A41" s="9" t="s">
        <v>217</v>
      </c>
      <c r="B41" s="23"/>
      <c r="C41" s="11" t="s">
        <v>76</v>
      </c>
      <c r="D41" s="26" t="s">
        <v>218</v>
      </c>
      <c r="E41" s="12" t="s">
        <v>219</v>
      </c>
    </row>
    <row r="42" customFormat="false" ht="27.75" hidden="false" customHeight="true" outlineLevel="0" collapsed="false">
      <c r="A42" s="9" t="s">
        <v>220</v>
      </c>
      <c r="B42" s="27" t="str">
        <f aca="false">IF(AND(B40&lt;&gt;"",B41&lt;&gt;""),B40+B41,"")</f>
        <v/>
      </c>
      <c r="C42" s="11" t="s">
        <v>76</v>
      </c>
      <c r="D42" s="26" t="s">
        <v>163</v>
      </c>
      <c r="E42" s="12" t="s">
        <v>221</v>
      </c>
    </row>
    <row r="43" customFormat="false" ht="27.75" hidden="false" customHeight="true" outlineLevel="0" collapsed="false">
      <c r="A43" s="9" t="s">
        <v>222</v>
      </c>
      <c r="B43" s="23"/>
      <c r="C43" s="11" t="s">
        <v>76</v>
      </c>
      <c r="D43" s="26" t="s">
        <v>223</v>
      </c>
      <c r="E43" s="12" t="s">
        <v>224</v>
      </c>
    </row>
    <row r="44" customFormat="false" ht="27.75" hidden="false" customHeight="true" outlineLevel="0" collapsed="false">
      <c r="A44" s="9" t="s">
        <v>225</v>
      </c>
      <c r="B44" s="27" t="str">
        <f aca="false">IF(AND(B42&lt;&gt;"",B43&lt;&gt;"",B43&gt;0),ABS((B42-B43)/B43)*100,"")</f>
        <v/>
      </c>
      <c r="C44" s="11" t="s">
        <v>32</v>
      </c>
      <c r="D44" s="26" t="s">
        <v>226</v>
      </c>
      <c r="E44" s="12" t="s">
        <v>227</v>
      </c>
    </row>
    <row r="45" customFormat="false" ht="27.75" hidden="false" customHeight="true" outlineLevel="0" collapsed="false">
      <c r="A45" s="9" t="s">
        <v>228</v>
      </c>
      <c r="B45" s="27" t="str">
        <f aca="false">IF(B44="","Brak danych",IF(B44&lt;=5,"✅ MODEL ZATWIERDZONY (Δ ≤ 5%)",IF(B44&lt;=10,"⚠️ WARUNKOWO (Δ 5-10%) — sprawdź dane T_pracy i moce","❌ ODRZUCONY (Δ &gt; 10%) — weryfikuj dane wejściowe")))</f>
        <v>Brak danych</v>
      </c>
      <c r="C45" s="11"/>
      <c r="D45" s="26" t="s">
        <v>226</v>
      </c>
      <c r="E45" s="12" t="s">
        <v>229</v>
      </c>
    </row>
    <row r="46" customFormat="false" ht="21.75" hidden="false" customHeight="true" outlineLevel="0" collapsed="false">
      <c r="A46" s="19" t="s">
        <v>230</v>
      </c>
      <c r="B46" s="19"/>
      <c r="C46" s="19"/>
      <c r="D46" s="19"/>
      <c r="E46" s="19"/>
    </row>
    <row r="47" customFormat="false" ht="27.75" hidden="false" customHeight="true" outlineLevel="0" collapsed="false">
      <c r="A47" s="29" t="s">
        <v>231</v>
      </c>
      <c r="B47" s="29"/>
      <c r="C47" s="29"/>
      <c r="D47" s="29"/>
      <c r="E47" s="29"/>
    </row>
    <row r="48" customFormat="false" ht="27.75" hidden="false" customHeight="true" outlineLevel="0" collapsed="false">
      <c r="A48" s="9" t="s">
        <v>232</v>
      </c>
      <c r="B48" s="23"/>
      <c r="C48" s="11" t="s">
        <v>80</v>
      </c>
      <c r="D48" s="26" t="s">
        <v>233</v>
      </c>
      <c r="E48" s="12" t="s">
        <v>234</v>
      </c>
    </row>
    <row r="49" customFormat="false" ht="27.75" hidden="false" customHeight="true" outlineLevel="0" collapsed="false">
      <c r="A49" s="9" t="s">
        <v>235</v>
      </c>
      <c r="B49" s="23"/>
      <c r="C49" s="11" t="s">
        <v>236</v>
      </c>
      <c r="D49" s="26" t="s">
        <v>237</v>
      </c>
      <c r="E49" s="12" t="s">
        <v>238</v>
      </c>
    </row>
    <row r="50" customFormat="false" ht="27.75" hidden="false" customHeight="true" outlineLevel="0" collapsed="false">
      <c r="A50" s="9" t="s">
        <v>239</v>
      </c>
      <c r="B50" s="23"/>
      <c r="C50" s="11" t="s">
        <v>236</v>
      </c>
      <c r="D50" s="26" t="s">
        <v>240</v>
      </c>
      <c r="E50" s="12" t="s">
        <v>241</v>
      </c>
    </row>
    <row r="51" customFormat="false" ht="27.75" hidden="false" customHeight="true" outlineLevel="0" collapsed="false">
      <c r="A51" s="9" t="s">
        <v>242</v>
      </c>
      <c r="B51" s="27" t="str">
        <f aca="false">IF(B22&lt;&gt;"",B22,"")</f>
        <v/>
      </c>
      <c r="C51" s="11" t="s">
        <v>21</v>
      </c>
      <c r="D51" s="26" t="s">
        <v>243</v>
      </c>
      <c r="E51" s="12" t="s">
        <v>244</v>
      </c>
    </row>
    <row r="52" customFormat="false" ht="27.75" hidden="false" customHeight="true" outlineLevel="0" collapsed="false">
      <c r="A52" s="9" t="s">
        <v>245</v>
      </c>
      <c r="B52" s="27" t="str">
        <f aca="false">IF(AND(B48&lt;&gt;"",B51&lt;&gt;""),B51*B48,"")</f>
        <v/>
      </c>
      <c r="C52" s="11" t="s">
        <v>76</v>
      </c>
      <c r="D52" s="26" t="s">
        <v>246</v>
      </c>
      <c r="E52" s="12" t="s">
        <v>247</v>
      </c>
    </row>
    <row r="53" customFormat="false" ht="27.75" hidden="false" customHeight="true" outlineLevel="0" collapsed="false">
      <c r="A53" s="9" t="s">
        <v>248</v>
      </c>
      <c r="B53" s="27" t="str">
        <f aca="false">IF(AND(B52&lt;&gt;"",B21&lt;&gt;""),B52*B21,"")</f>
        <v/>
      </c>
      <c r="C53" s="11" t="s">
        <v>94</v>
      </c>
      <c r="D53" s="26" t="s">
        <v>163</v>
      </c>
      <c r="E53" s="12" t="s">
        <v>249</v>
      </c>
    </row>
    <row r="54" customFormat="false" ht="27.75" hidden="false" customHeight="true" outlineLevel="0" collapsed="false">
      <c r="A54" s="9" t="s">
        <v>250</v>
      </c>
      <c r="B54" s="27" t="str">
        <f aca="false">IF(AND(B52&lt;&gt;"",B17&lt;&gt;"",B17&gt;0),B52/B17,"")</f>
        <v/>
      </c>
      <c r="C54" s="11" t="s">
        <v>32</v>
      </c>
      <c r="D54" s="26" t="s">
        <v>163</v>
      </c>
      <c r="E54" s="12" t="s">
        <v>251</v>
      </c>
    </row>
    <row r="55" customFormat="false" ht="27.75" hidden="false" customHeight="true" outlineLevel="0" collapsed="false">
      <c r="A55" s="9" t="s">
        <v>252</v>
      </c>
      <c r="B55" s="23"/>
      <c r="C55" s="11" t="s">
        <v>32</v>
      </c>
      <c r="D55" s="26" t="s">
        <v>253</v>
      </c>
      <c r="E55" s="12" t="s">
        <v>254</v>
      </c>
    </row>
    <row r="56" customFormat="false" ht="13.5" hidden="false" customHeight="true" outlineLevel="0" collapsed="false">
      <c r="A56" s="21" t="s">
        <v>255</v>
      </c>
      <c r="B56" s="21"/>
      <c r="C56" s="21"/>
      <c r="D56" s="21"/>
      <c r="E56" s="21"/>
    </row>
  </sheetData>
  <mergeCells count="11">
    <mergeCell ref="A1:E1"/>
    <mergeCell ref="A2:E2"/>
    <mergeCell ref="A4:E4"/>
    <mergeCell ref="A15:E15"/>
    <mergeCell ref="A26:E26"/>
    <mergeCell ref="A27:E27"/>
    <mergeCell ref="A38:E38"/>
    <mergeCell ref="A39:E39"/>
    <mergeCell ref="A46:E46"/>
    <mergeCell ref="A47:E47"/>
    <mergeCell ref="A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42" hidden="false" customHeight="true" outlineLevel="0" collapsed="false">
      <c r="A1" s="1" t="s">
        <v>256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257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258</v>
      </c>
      <c r="B3" s="4"/>
      <c r="C3" s="3" t="s">
        <v>3</v>
      </c>
      <c r="D3" s="4"/>
      <c r="E3" s="3" t="s">
        <v>259</v>
      </c>
    </row>
    <row r="4" customFormat="false" ht="21.75" hidden="false" customHeight="true" outlineLevel="0" collapsed="false">
      <c r="A4" s="17" t="s">
        <v>260</v>
      </c>
      <c r="B4" s="17"/>
      <c r="C4" s="17"/>
      <c r="D4" s="17"/>
      <c r="E4" s="17"/>
    </row>
    <row r="5" customFormat="false" ht="24" hidden="false" customHeight="true" outlineLevel="0" collapsed="false">
      <c r="A5" s="30" t="s">
        <v>261</v>
      </c>
      <c r="B5" s="31" t="s">
        <v>262</v>
      </c>
      <c r="C5" s="32"/>
      <c r="D5" s="33"/>
      <c r="E5" s="34"/>
    </row>
    <row r="6" customFormat="false" ht="24" hidden="false" customHeight="true" outlineLevel="0" collapsed="false">
      <c r="A6" s="30" t="s">
        <v>263</v>
      </c>
      <c r="B6" s="31" t="s">
        <v>264</v>
      </c>
      <c r="C6" s="32"/>
      <c r="D6" s="33"/>
      <c r="E6" s="34"/>
    </row>
    <row r="7" customFormat="false" ht="24" hidden="false" customHeight="true" outlineLevel="0" collapsed="false">
      <c r="A7" s="30" t="s">
        <v>265</v>
      </c>
      <c r="B7" s="31" t="s">
        <v>266</v>
      </c>
      <c r="C7" s="32"/>
      <c r="D7" s="33"/>
      <c r="E7" s="34"/>
    </row>
    <row r="8" customFormat="false" ht="24" hidden="false" customHeight="true" outlineLevel="0" collapsed="false">
      <c r="A8" s="30" t="s">
        <v>267</v>
      </c>
      <c r="B8" s="31" t="s">
        <v>268</v>
      </c>
      <c r="C8" s="32"/>
      <c r="D8" s="33"/>
      <c r="E8" s="34"/>
    </row>
    <row r="9" customFormat="false" ht="24" hidden="false" customHeight="true" outlineLevel="0" collapsed="false">
      <c r="A9" s="30" t="s">
        <v>269</v>
      </c>
      <c r="B9" s="31" t="s">
        <v>268</v>
      </c>
      <c r="C9" s="32"/>
      <c r="D9" s="33"/>
      <c r="E9" s="34"/>
    </row>
    <row r="10" customFormat="false" ht="24" hidden="false" customHeight="true" outlineLevel="0" collapsed="false">
      <c r="A10" s="30" t="s">
        <v>27</v>
      </c>
      <c r="B10" s="31" t="s">
        <v>268</v>
      </c>
      <c r="C10" s="32"/>
      <c r="D10" s="33"/>
      <c r="E10" s="34"/>
    </row>
    <row r="11" customFormat="false" ht="24" hidden="false" customHeight="true" outlineLevel="0" collapsed="false">
      <c r="A11" s="30" t="s">
        <v>270</v>
      </c>
      <c r="B11" s="31" t="s">
        <v>271</v>
      </c>
      <c r="C11" s="32"/>
      <c r="D11" s="33"/>
      <c r="E11" s="34"/>
    </row>
    <row r="12" customFormat="false" ht="24" hidden="false" customHeight="true" outlineLevel="0" collapsed="false">
      <c r="A12" s="30" t="s">
        <v>272</v>
      </c>
      <c r="B12" s="31" t="s">
        <v>273</v>
      </c>
      <c r="C12" s="32"/>
      <c r="D12" s="33"/>
      <c r="E12" s="34"/>
    </row>
    <row r="13" customFormat="false" ht="21.75" hidden="false" customHeight="true" outlineLevel="0" collapsed="false">
      <c r="A13" s="6" t="s">
        <v>274</v>
      </c>
      <c r="B13" s="6"/>
      <c r="C13" s="6"/>
      <c r="D13" s="6"/>
      <c r="E13" s="6"/>
    </row>
    <row r="14" customFormat="false" ht="18" hidden="false" customHeight="true" outlineLevel="0" collapsed="false">
      <c r="A14" s="35" t="s">
        <v>275</v>
      </c>
      <c r="B14" s="35" t="s">
        <v>142</v>
      </c>
      <c r="C14" s="35" t="s">
        <v>276</v>
      </c>
      <c r="D14" s="35" t="s">
        <v>277</v>
      </c>
      <c r="E14" s="35" t="s">
        <v>278</v>
      </c>
    </row>
    <row r="15" customFormat="false" ht="27.75" hidden="false" customHeight="true" outlineLevel="0" collapsed="false">
      <c r="A15" s="36" t="s">
        <v>279</v>
      </c>
      <c r="B15" s="37" t="s">
        <v>280</v>
      </c>
      <c r="C15" s="32" t="s">
        <v>186</v>
      </c>
      <c r="D15" s="34" t="s">
        <v>281</v>
      </c>
      <c r="E15" s="33" t="s">
        <v>282</v>
      </c>
    </row>
    <row r="16" customFormat="false" ht="27.75" hidden="false" customHeight="true" outlineLevel="0" collapsed="false">
      <c r="A16" s="36" t="s">
        <v>283</v>
      </c>
      <c r="B16" s="37" t="s">
        <v>280</v>
      </c>
      <c r="C16" s="32" t="s">
        <v>284</v>
      </c>
      <c r="D16" s="34" t="s">
        <v>285</v>
      </c>
      <c r="E16" s="33" t="s">
        <v>282</v>
      </c>
    </row>
    <row r="17" customFormat="false" ht="27.75" hidden="false" customHeight="true" outlineLevel="0" collapsed="false">
      <c r="A17" s="36" t="s">
        <v>286</v>
      </c>
      <c r="B17" s="37" t="s">
        <v>280</v>
      </c>
      <c r="C17" s="32" t="s">
        <v>287</v>
      </c>
      <c r="D17" s="34" t="s">
        <v>288</v>
      </c>
      <c r="E17" s="33" t="s">
        <v>282</v>
      </c>
    </row>
    <row r="18" customFormat="false" ht="27.75" hidden="false" customHeight="true" outlineLevel="0" collapsed="false">
      <c r="A18" s="36" t="s">
        <v>289</v>
      </c>
      <c r="B18" s="37" t="s">
        <v>280</v>
      </c>
      <c r="C18" s="32" t="s">
        <v>287</v>
      </c>
      <c r="D18" s="34" t="s">
        <v>290</v>
      </c>
      <c r="E18" s="33" t="s">
        <v>282</v>
      </c>
    </row>
    <row r="19" customFormat="false" ht="27.75" hidden="false" customHeight="true" outlineLevel="0" collapsed="false">
      <c r="A19" s="36" t="s">
        <v>291</v>
      </c>
      <c r="B19" s="37" t="s">
        <v>280</v>
      </c>
      <c r="C19" s="32" t="s">
        <v>197</v>
      </c>
      <c r="D19" s="34" t="s">
        <v>292</v>
      </c>
      <c r="E19" s="33" t="s">
        <v>282</v>
      </c>
    </row>
    <row r="20" customFormat="false" ht="27.75" hidden="false" customHeight="true" outlineLevel="0" collapsed="false">
      <c r="A20" s="36" t="s">
        <v>293</v>
      </c>
      <c r="B20" s="37" t="s">
        <v>294</v>
      </c>
      <c r="C20" s="32" t="s">
        <v>32</v>
      </c>
      <c r="D20" s="34" t="s">
        <v>295</v>
      </c>
      <c r="E20" s="33" t="s">
        <v>282</v>
      </c>
    </row>
    <row r="21" customFormat="false" ht="27.75" hidden="false" customHeight="true" outlineLevel="0" collapsed="false">
      <c r="A21" s="36" t="s">
        <v>296</v>
      </c>
      <c r="B21" s="37" t="s">
        <v>297</v>
      </c>
      <c r="C21" s="32" t="s">
        <v>32</v>
      </c>
      <c r="D21" s="34" t="s">
        <v>298</v>
      </c>
      <c r="E21" s="33" t="s">
        <v>282</v>
      </c>
    </row>
    <row r="22" customFormat="false" ht="27.75" hidden="false" customHeight="true" outlineLevel="0" collapsed="false">
      <c r="A22" s="36" t="s">
        <v>299</v>
      </c>
      <c r="B22" s="37" t="s">
        <v>280</v>
      </c>
      <c r="C22" s="32" t="s">
        <v>94</v>
      </c>
      <c r="D22" s="34" t="s">
        <v>300</v>
      </c>
      <c r="E22" s="33" t="s">
        <v>282</v>
      </c>
    </row>
    <row r="23" customFormat="false" ht="21.75" hidden="false" customHeight="true" outlineLevel="0" collapsed="false">
      <c r="A23" s="13" t="s">
        <v>301</v>
      </c>
      <c r="B23" s="13"/>
      <c r="C23" s="13"/>
      <c r="D23" s="13"/>
      <c r="E23" s="13"/>
    </row>
    <row r="24" customFormat="false" ht="18" hidden="false" customHeight="true" outlineLevel="0" collapsed="false">
      <c r="A24" s="22" t="s">
        <v>302</v>
      </c>
      <c r="B24" s="22" t="s">
        <v>303</v>
      </c>
      <c r="C24" s="22" t="s">
        <v>304</v>
      </c>
      <c r="D24" s="22" t="s">
        <v>305</v>
      </c>
      <c r="E24" s="22" t="s">
        <v>306</v>
      </c>
    </row>
    <row r="25" customFormat="false" ht="21.75" hidden="false" customHeight="true" outlineLevel="0" collapsed="false">
      <c r="A25" s="16" t="s">
        <v>307</v>
      </c>
      <c r="B25" s="16"/>
      <c r="C25" s="16"/>
      <c r="D25" s="16"/>
      <c r="E25" s="16"/>
    </row>
    <row r="26" customFormat="false" ht="21.75" hidden="false" customHeight="true" outlineLevel="0" collapsed="false">
      <c r="A26" s="38" t="s">
        <v>308</v>
      </c>
      <c r="B26" s="38"/>
      <c r="C26" s="38"/>
      <c r="D26" s="38"/>
      <c r="E26" s="38"/>
    </row>
    <row r="27" customFormat="false" ht="21.75" hidden="false" customHeight="true" outlineLevel="0" collapsed="false">
      <c r="A27" s="16" t="s">
        <v>309</v>
      </c>
      <c r="B27" s="16"/>
      <c r="C27" s="16"/>
      <c r="D27" s="16"/>
      <c r="E27" s="16"/>
    </row>
    <row r="28" customFormat="false" ht="21.75" hidden="false" customHeight="true" outlineLevel="0" collapsed="false">
      <c r="A28" s="38" t="s">
        <v>310</v>
      </c>
      <c r="B28" s="38"/>
      <c r="C28" s="38"/>
      <c r="D28" s="38"/>
      <c r="E28" s="38"/>
    </row>
    <row r="29" customFormat="false" ht="21.75" hidden="false" customHeight="true" outlineLevel="0" collapsed="false">
      <c r="A29" s="16" t="s">
        <v>311</v>
      </c>
      <c r="B29" s="16"/>
      <c r="C29" s="16"/>
      <c r="D29" s="16"/>
      <c r="E29" s="16"/>
    </row>
    <row r="30" customFormat="false" ht="21.75" hidden="false" customHeight="true" outlineLevel="0" collapsed="false">
      <c r="A30" s="38" t="s">
        <v>312</v>
      </c>
      <c r="B30" s="38"/>
      <c r="C30" s="38"/>
      <c r="D30" s="38"/>
      <c r="E30" s="38"/>
    </row>
    <row r="31" customFormat="false" ht="21.75" hidden="false" customHeight="true" outlineLevel="0" collapsed="false">
      <c r="A31" s="16" t="s">
        <v>313</v>
      </c>
      <c r="B31" s="16"/>
      <c r="C31" s="16"/>
      <c r="D31" s="16"/>
      <c r="E31" s="16"/>
    </row>
    <row r="32" customFormat="false" ht="21.75" hidden="false" customHeight="true" outlineLevel="0" collapsed="false">
      <c r="A32" s="38" t="s">
        <v>314</v>
      </c>
      <c r="B32" s="38"/>
      <c r="C32" s="38"/>
      <c r="D32" s="38"/>
      <c r="E32" s="38"/>
    </row>
    <row r="33" customFormat="false" ht="21.75" hidden="false" customHeight="true" outlineLevel="0" collapsed="false">
      <c r="A33" s="19" t="s">
        <v>315</v>
      </c>
      <c r="B33" s="19"/>
      <c r="C33" s="19"/>
      <c r="D33" s="19"/>
      <c r="E33" s="19"/>
    </row>
    <row r="34" customFormat="false" ht="24" hidden="false" customHeight="true" outlineLevel="0" collapsed="false">
      <c r="A34" s="30" t="s">
        <v>245</v>
      </c>
      <c r="B34" s="31" t="s">
        <v>297</v>
      </c>
      <c r="C34" s="32"/>
      <c r="D34" s="33"/>
      <c r="E34" s="34"/>
    </row>
    <row r="35" customFormat="false" ht="24" hidden="false" customHeight="true" outlineLevel="0" collapsed="false">
      <c r="A35" s="30" t="s">
        <v>248</v>
      </c>
      <c r="B35" s="31" t="s">
        <v>297</v>
      </c>
      <c r="C35" s="32"/>
      <c r="D35" s="33"/>
      <c r="E35" s="34"/>
    </row>
    <row r="36" customFormat="false" ht="24" hidden="false" customHeight="true" outlineLevel="0" collapsed="false">
      <c r="A36" s="30" t="s">
        <v>316</v>
      </c>
      <c r="B36" s="31" t="s">
        <v>297</v>
      </c>
      <c r="C36" s="32"/>
      <c r="D36" s="33"/>
      <c r="E36" s="34"/>
    </row>
    <row r="37" customFormat="false" ht="24" hidden="false" customHeight="true" outlineLevel="0" collapsed="false">
      <c r="A37" s="30" t="s">
        <v>317</v>
      </c>
      <c r="B37" s="31" t="s">
        <v>318</v>
      </c>
      <c r="C37" s="32"/>
      <c r="D37" s="33"/>
      <c r="E37" s="34"/>
    </row>
    <row r="38" customFormat="false" ht="24" hidden="false" customHeight="true" outlineLevel="0" collapsed="false">
      <c r="A38" s="30" t="s">
        <v>319</v>
      </c>
      <c r="B38" s="31" t="s">
        <v>297</v>
      </c>
      <c r="C38" s="32"/>
      <c r="D38" s="33"/>
      <c r="E38" s="34"/>
    </row>
    <row r="39" customFormat="false" ht="21.75" hidden="false" customHeight="true" outlineLevel="0" collapsed="false">
      <c r="A39" s="20" t="s">
        <v>320</v>
      </c>
      <c r="B39" s="20"/>
      <c r="C39" s="20"/>
      <c r="D39" s="20"/>
      <c r="E39" s="20"/>
    </row>
    <row r="40" customFormat="false" ht="25.5" hidden="false" customHeight="true" outlineLevel="0" collapsed="false">
      <c r="A40" s="30" t="s">
        <v>321</v>
      </c>
      <c r="B40" s="39" t="s">
        <v>322</v>
      </c>
      <c r="C40" s="32"/>
      <c r="D40" s="34" t="s">
        <v>323</v>
      </c>
      <c r="E40" s="38"/>
    </row>
    <row r="41" customFormat="false" ht="25.5" hidden="false" customHeight="true" outlineLevel="0" collapsed="false">
      <c r="A41" s="30" t="s">
        <v>324</v>
      </c>
      <c r="B41" s="39" t="s">
        <v>325</v>
      </c>
      <c r="C41" s="32" t="s">
        <v>32</v>
      </c>
      <c r="D41" s="34" t="s">
        <v>326</v>
      </c>
      <c r="E41" s="38"/>
    </row>
    <row r="42" customFormat="false" ht="25.5" hidden="false" customHeight="true" outlineLevel="0" collapsed="false">
      <c r="A42" s="30" t="s">
        <v>327</v>
      </c>
      <c r="B42" s="39" t="s">
        <v>328</v>
      </c>
      <c r="C42" s="32"/>
      <c r="D42" s="34" t="s">
        <v>329</v>
      </c>
      <c r="E42" s="38"/>
    </row>
    <row r="43" customFormat="false" ht="25.5" hidden="false" customHeight="true" outlineLevel="0" collapsed="false">
      <c r="A43" s="30" t="s">
        <v>330</v>
      </c>
      <c r="B43" s="39" t="s">
        <v>331</v>
      </c>
      <c r="C43" s="32"/>
      <c r="D43" s="34" t="s">
        <v>332</v>
      </c>
      <c r="E43" s="38"/>
    </row>
    <row r="44" customFormat="false" ht="25.5" hidden="false" customHeight="true" outlineLevel="0" collapsed="false">
      <c r="A44" s="30" t="s">
        <v>333</v>
      </c>
      <c r="B44" s="39" t="s">
        <v>334</v>
      </c>
      <c r="C44" s="32"/>
      <c r="D44" s="34" t="s">
        <v>335</v>
      </c>
      <c r="E44" s="38"/>
    </row>
    <row r="45" customFormat="false" ht="25.5" hidden="false" customHeight="true" outlineLevel="0" collapsed="false">
      <c r="A45" s="30" t="s">
        <v>336</v>
      </c>
      <c r="B45" s="39" t="s">
        <v>337</v>
      </c>
      <c r="C45" s="32"/>
      <c r="D45" s="34" t="s">
        <v>338</v>
      </c>
      <c r="E45" s="38"/>
    </row>
    <row r="46" customFormat="false" ht="25.5" hidden="false" customHeight="true" outlineLevel="0" collapsed="false">
      <c r="A46" s="30" t="s">
        <v>339</v>
      </c>
      <c r="B46" s="39" t="s">
        <v>340</v>
      </c>
      <c r="C46" s="32"/>
      <c r="D46" s="34" t="s">
        <v>341</v>
      </c>
      <c r="E46" s="38"/>
    </row>
    <row r="47" customFormat="false" ht="25.5" hidden="false" customHeight="true" outlineLevel="0" collapsed="false">
      <c r="A47" s="30" t="s">
        <v>342</v>
      </c>
      <c r="B47" s="39" t="s">
        <v>343</v>
      </c>
      <c r="C47" s="32"/>
      <c r="D47" s="34" t="s">
        <v>344</v>
      </c>
      <c r="E47" s="38"/>
    </row>
    <row r="48" customFormat="false" ht="25.5" hidden="false" customHeight="true" outlineLevel="0" collapsed="false">
      <c r="A48" s="30" t="s">
        <v>345</v>
      </c>
      <c r="B48" s="39" t="s">
        <v>346</v>
      </c>
      <c r="C48" s="32"/>
      <c r="D48" s="34" t="s">
        <v>347</v>
      </c>
      <c r="E48" s="38"/>
    </row>
    <row r="49" customFormat="false" ht="25.5" hidden="false" customHeight="true" outlineLevel="0" collapsed="false">
      <c r="A49" s="30" t="s">
        <v>348</v>
      </c>
      <c r="B49" s="39" t="s">
        <v>349</v>
      </c>
      <c r="C49" s="32"/>
      <c r="D49" s="34" t="s">
        <v>350</v>
      </c>
      <c r="E49" s="38"/>
    </row>
    <row r="50" customFormat="false" ht="21.75" hidden="false" customHeight="true" outlineLevel="0" collapsed="false">
      <c r="A50" s="17" t="s">
        <v>351</v>
      </c>
      <c r="B50" s="17"/>
      <c r="C50" s="17"/>
      <c r="D50" s="17"/>
      <c r="E50" s="17"/>
    </row>
    <row r="51" customFormat="false" ht="18" hidden="false" customHeight="true" outlineLevel="0" collapsed="false">
      <c r="A51" s="3" t="s">
        <v>352</v>
      </c>
      <c r="B51" s="40" t="s">
        <v>353</v>
      </c>
      <c r="C51" s="41" t="s">
        <v>354</v>
      </c>
      <c r="D51" s="40" t="s">
        <v>355</v>
      </c>
      <c r="E51" s="38"/>
    </row>
    <row r="52" customFormat="false" ht="18" hidden="false" customHeight="true" outlineLevel="0" collapsed="false">
      <c r="A52" s="42" t="s">
        <v>356</v>
      </c>
      <c r="B52" s="40" t="s">
        <v>353</v>
      </c>
      <c r="C52" s="41" t="s">
        <v>354</v>
      </c>
      <c r="D52" s="40" t="s">
        <v>355</v>
      </c>
      <c r="E52" s="38"/>
    </row>
    <row r="53" customFormat="false" ht="13.5" hidden="false" customHeight="true" outlineLevel="0" collapsed="false">
      <c r="A53" s="21" t="s">
        <v>357</v>
      </c>
      <c r="B53" s="21"/>
      <c r="C53" s="21"/>
      <c r="D53" s="21"/>
      <c r="E53" s="21"/>
    </row>
  </sheetData>
  <mergeCells count="9">
    <mergeCell ref="A1:E1"/>
    <mergeCell ref="A2:E2"/>
    <mergeCell ref="A4:E4"/>
    <mergeCell ref="A13:E13"/>
    <mergeCell ref="A23:E23"/>
    <mergeCell ref="A33:E33"/>
    <mergeCell ref="A39:E39"/>
    <mergeCell ref="A50:E50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6E"/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42" hidden="false" customHeight="true" outlineLevel="0" collapsed="false">
      <c r="A1" s="1" t="s">
        <v>358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359</v>
      </c>
      <c r="B2" s="2"/>
      <c r="C2" s="2"/>
      <c r="D2" s="2"/>
      <c r="E2" s="2"/>
    </row>
    <row r="3" customFormat="false" ht="18" hidden="false" customHeight="true" outlineLevel="0" collapsed="false">
      <c r="A3" s="43" t="s">
        <v>360</v>
      </c>
    </row>
    <row r="4" customFormat="false" ht="13.5" hidden="false" customHeight="true" outlineLevel="0" collapsed="false">
      <c r="A4" s="44" t="s">
        <v>361</v>
      </c>
    </row>
    <row r="5" customFormat="false" ht="15" hidden="false" customHeight="true" outlineLevel="0" collapsed="false">
      <c r="A5" s="45" t="s">
        <v>362</v>
      </c>
    </row>
    <row r="6" customFormat="false" ht="15" hidden="false" customHeight="true" outlineLevel="0" collapsed="false">
      <c r="A6" s="45" t="s">
        <v>363</v>
      </c>
    </row>
    <row r="7" customFormat="false" ht="15" hidden="false" customHeight="true" outlineLevel="0" collapsed="false">
      <c r="A7" s="46"/>
    </row>
    <row r="8" customFormat="false" ht="15" hidden="false" customHeight="true" outlineLevel="0" collapsed="false">
      <c r="A8" s="47" t="s">
        <v>364</v>
      </c>
    </row>
    <row r="9" customFormat="false" ht="15" hidden="false" customHeight="true" outlineLevel="0" collapsed="false">
      <c r="A9" s="45" t="s">
        <v>365</v>
      </c>
    </row>
    <row r="10" customFormat="false" ht="15" hidden="false" customHeight="true" outlineLevel="0" collapsed="false">
      <c r="A10" s="45" t="s">
        <v>366</v>
      </c>
    </row>
    <row r="11" customFormat="false" ht="15" hidden="false" customHeight="true" outlineLevel="0" collapsed="false">
      <c r="A11" s="45" t="s">
        <v>367</v>
      </c>
    </row>
    <row r="12" customFormat="false" ht="15" hidden="false" customHeight="true" outlineLevel="0" collapsed="false">
      <c r="A12" s="46"/>
    </row>
    <row r="13" customFormat="false" ht="15" hidden="false" customHeight="true" outlineLevel="0" collapsed="false">
      <c r="A13" s="47" t="s">
        <v>368</v>
      </c>
    </row>
    <row r="14" customFormat="false" ht="15" hidden="false" customHeight="true" outlineLevel="0" collapsed="false">
      <c r="A14" s="46"/>
    </row>
    <row r="15" customFormat="false" ht="15" hidden="false" customHeight="true" outlineLevel="0" collapsed="false">
      <c r="A15" s="45" t="s">
        <v>369</v>
      </c>
    </row>
    <row r="16" customFormat="false" ht="15" hidden="false" customHeight="true" outlineLevel="0" collapsed="false">
      <c r="A16" s="45" t="s">
        <v>370</v>
      </c>
    </row>
    <row r="17" customFormat="false" ht="15" hidden="false" customHeight="true" outlineLevel="0" collapsed="false">
      <c r="A17" s="45" t="s">
        <v>371</v>
      </c>
    </row>
    <row r="18" customFormat="false" ht="15" hidden="false" customHeight="true" outlineLevel="0" collapsed="false">
      <c r="A18" s="45" t="s">
        <v>372</v>
      </c>
    </row>
    <row r="19" customFormat="false" ht="15" hidden="false" customHeight="true" outlineLevel="0" collapsed="false">
      <c r="A19" s="45" t="s">
        <v>373</v>
      </c>
    </row>
    <row r="20" customFormat="false" ht="15" hidden="false" customHeight="true" outlineLevel="0" collapsed="false">
      <c r="A20" s="45" t="s">
        <v>374</v>
      </c>
    </row>
    <row r="21" customFormat="false" ht="15" hidden="false" customHeight="true" outlineLevel="0" collapsed="false">
      <c r="A21" s="45" t="s">
        <v>375</v>
      </c>
    </row>
    <row r="22" customFormat="false" ht="15" hidden="false" customHeight="true" outlineLevel="0" collapsed="false">
      <c r="A22" s="45" t="s">
        <v>376</v>
      </c>
    </row>
    <row r="23" customFormat="false" ht="15" hidden="false" customHeight="true" outlineLevel="0" collapsed="false">
      <c r="A23" s="45" t="s">
        <v>377</v>
      </c>
    </row>
    <row r="24" customFormat="false" ht="15" hidden="false" customHeight="true" outlineLevel="0" collapsed="false">
      <c r="A24" s="46"/>
    </row>
    <row r="25" customFormat="false" ht="15" hidden="false" customHeight="true" outlineLevel="0" collapsed="false">
      <c r="A25" s="45" t="s">
        <v>378</v>
      </c>
    </row>
    <row r="26" customFormat="false" ht="15" hidden="false" customHeight="true" outlineLevel="0" collapsed="false">
      <c r="A26" s="45" t="s">
        <v>379</v>
      </c>
    </row>
    <row r="27" customFormat="false" ht="15" hidden="false" customHeight="true" outlineLevel="0" collapsed="false">
      <c r="A27" s="45" t="s">
        <v>380</v>
      </c>
    </row>
    <row r="28" customFormat="false" ht="15" hidden="false" customHeight="true" outlineLevel="0" collapsed="false">
      <c r="A28" s="45" t="s">
        <v>381</v>
      </c>
    </row>
    <row r="29" customFormat="false" ht="15" hidden="false" customHeight="true" outlineLevel="0" collapsed="false">
      <c r="A29" s="45" t="s">
        <v>382</v>
      </c>
    </row>
    <row r="30" customFormat="false" ht="15" hidden="false" customHeight="true" outlineLevel="0" collapsed="false">
      <c r="A30" s="45" t="s">
        <v>383</v>
      </c>
    </row>
    <row r="31" customFormat="false" ht="15" hidden="false" customHeight="true" outlineLevel="0" collapsed="false">
      <c r="A31" s="45" t="s">
        <v>384</v>
      </c>
    </row>
    <row r="32" customFormat="false" ht="15" hidden="false" customHeight="true" outlineLevel="0" collapsed="false">
      <c r="A32" s="45" t="s">
        <v>385</v>
      </c>
    </row>
    <row r="33" customFormat="false" ht="15" hidden="false" customHeight="true" outlineLevel="0" collapsed="false">
      <c r="A33" s="46"/>
    </row>
    <row r="34" customFormat="false" ht="15" hidden="false" customHeight="true" outlineLevel="0" collapsed="false">
      <c r="A34" s="45" t="s">
        <v>386</v>
      </c>
    </row>
    <row r="35" customFormat="false" ht="15" hidden="false" customHeight="true" outlineLevel="0" collapsed="false">
      <c r="A35" s="45" t="s">
        <v>387</v>
      </c>
    </row>
    <row r="36" customFormat="false" ht="15" hidden="false" customHeight="true" outlineLevel="0" collapsed="false">
      <c r="A36" s="45" t="s">
        <v>388</v>
      </c>
    </row>
    <row r="37" customFormat="false" ht="15" hidden="false" customHeight="true" outlineLevel="0" collapsed="false">
      <c r="A37" s="45" t="s">
        <v>389</v>
      </c>
    </row>
    <row r="38" customFormat="false" ht="15" hidden="false" customHeight="true" outlineLevel="0" collapsed="false">
      <c r="A38" s="45" t="s">
        <v>390</v>
      </c>
    </row>
    <row r="39" customFormat="false" ht="15" hidden="false" customHeight="true" outlineLevel="0" collapsed="false">
      <c r="A39" s="45" t="s">
        <v>391</v>
      </c>
    </row>
    <row r="40" customFormat="false" ht="15" hidden="false" customHeight="true" outlineLevel="0" collapsed="false">
      <c r="A40" s="45" t="s">
        <v>392</v>
      </c>
    </row>
    <row r="41" customFormat="false" ht="15" hidden="false" customHeight="true" outlineLevel="0" collapsed="false">
      <c r="A41" s="45" t="s">
        <v>393</v>
      </c>
    </row>
    <row r="42" customFormat="false" ht="15" hidden="false" customHeight="true" outlineLevel="0" collapsed="false">
      <c r="A42" s="46"/>
    </row>
    <row r="43" customFormat="false" ht="15" hidden="false" customHeight="true" outlineLevel="0" collapsed="false">
      <c r="A43" s="45" t="s">
        <v>394</v>
      </c>
    </row>
    <row r="44" customFormat="false" ht="15" hidden="false" customHeight="true" outlineLevel="0" collapsed="false">
      <c r="A44" s="45" t="s">
        <v>395</v>
      </c>
    </row>
    <row r="45" customFormat="false" ht="15" hidden="false" customHeight="true" outlineLevel="0" collapsed="false">
      <c r="A45" s="45" t="s">
        <v>396</v>
      </c>
    </row>
    <row r="46" customFormat="false" ht="15" hidden="false" customHeight="true" outlineLevel="0" collapsed="false">
      <c r="A46" s="45" t="s">
        <v>397</v>
      </c>
    </row>
    <row r="47" customFormat="false" ht="15" hidden="false" customHeight="true" outlineLevel="0" collapsed="false">
      <c r="A47" s="45" t="s">
        <v>398</v>
      </c>
    </row>
    <row r="48" customFormat="false" ht="15" hidden="false" customHeight="true" outlineLevel="0" collapsed="false">
      <c r="A48" s="45" t="s">
        <v>399</v>
      </c>
    </row>
    <row r="49" customFormat="false" ht="15" hidden="false" customHeight="true" outlineLevel="0" collapsed="false">
      <c r="A49" s="45" t="s">
        <v>400</v>
      </c>
    </row>
    <row r="50" customFormat="false" ht="15" hidden="false" customHeight="true" outlineLevel="0" collapsed="false">
      <c r="A50" s="45" t="s">
        <v>401</v>
      </c>
    </row>
    <row r="51" customFormat="false" ht="15" hidden="false" customHeight="true" outlineLevel="0" collapsed="false">
      <c r="A51" s="46"/>
    </row>
    <row r="52" customFormat="false" ht="15" hidden="false" customHeight="true" outlineLevel="0" collapsed="false">
      <c r="A52" s="45" t="s">
        <v>402</v>
      </c>
    </row>
    <row r="53" customFormat="false" ht="15" hidden="false" customHeight="true" outlineLevel="0" collapsed="false">
      <c r="A53" s="45" t="s">
        <v>403</v>
      </c>
    </row>
    <row r="54" customFormat="false" ht="15" hidden="false" customHeight="true" outlineLevel="0" collapsed="false">
      <c r="A54" s="45" t="s">
        <v>404</v>
      </c>
    </row>
    <row r="55" customFormat="false" ht="15" hidden="false" customHeight="true" outlineLevel="0" collapsed="false">
      <c r="A55" s="45" t="s">
        <v>405</v>
      </c>
    </row>
    <row r="56" customFormat="false" ht="15" hidden="false" customHeight="true" outlineLevel="0" collapsed="false">
      <c r="A56" s="45" t="s">
        <v>406</v>
      </c>
    </row>
    <row r="57" customFormat="false" ht="15" hidden="false" customHeight="true" outlineLevel="0" collapsed="false">
      <c r="A57" s="45" t="s">
        <v>407</v>
      </c>
    </row>
    <row r="58" customFormat="false" ht="15" hidden="false" customHeight="true" outlineLevel="0" collapsed="false">
      <c r="A58" s="45" t="s">
        <v>408</v>
      </c>
    </row>
    <row r="59" customFormat="false" ht="15" hidden="false" customHeight="true" outlineLevel="0" collapsed="false">
      <c r="A59" s="46"/>
    </row>
    <row r="60" customFormat="false" ht="15" hidden="false" customHeight="true" outlineLevel="0" collapsed="false">
      <c r="A60" s="45" t="s">
        <v>409</v>
      </c>
    </row>
    <row r="61" customFormat="false" ht="15" hidden="false" customHeight="true" outlineLevel="0" collapsed="false">
      <c r="A61" s="45" t="s">
        <v>410</v>
      </c>
    </row>
    <row r="62" customFormat="false" ht="15" hidden="false" customHeight="true" outlineLevel="0" collapsed="false">
      <c r="A62" s="46"/>
    </row>
    <row r="63" customFormat="false" ht="15" hidden="false" customHeight="true" outlineLevel="0" collapsed="false">
      <c r="A63" s="47" t="s">
        <v>411</v>
      </c>
    </row>
    <row r="64" customFormat="false" ht="15" hidden="false" customHeight="true" outlineLevel="0" collapsed="false">
      <c r="A64" s="45" t="s">
        <v>412</v>
      </c>
    </row>
    <row r="65" customFormat="false" ht="15" hidden="false" customHeight="true" outlineLevel="0" collapsed="false">
      <c r="A65" s="45" t="s">
        <v>413</v>
      </c>
    </row>
    <row r="66" customFormat="false" ht="15" hidden="false" customHeight="true" outlineLevel="0" collapsed="false">
      <c r="A66" s="46"/>
    </row>
    <row r="67" customFormat="false" ht="15" hidden="false" customHeight="true" outlineLevel="0" collapsed="false">
      <c r="A67" s="48" t="s">
        <v>414</v>
      </c>
    </row>
    <row r="68" customFormat="false" ht="15" hidden="false" customHeight="true" outlineLevel="0" collapsed="false">
      <c r="A68" s="46"/>
    </row>
    <row r="69" customFormat="false" ht="15" hidden="false" customHeight="true" outlineLevel="0" collapsed="false">
      <c r="A69" s="47" t="s">
        <v>415</v>
      </c>
    </row>
    <row r="70" customFormat="false" ht="15" hidden="false" customHeight="true" outlineLevel="0" collapsed="false">
      <c r="A70" s="45" t="s">
        <v>416</v>
      </c>
    </row>
    <row r="71" customFormat="false" ht="15" hidden="false" customHeight="true" outlineLevel="0" collapsed="false">
      <c r="A71" s="45" t="s">
        <v>417</v>
      </c>
    </row>
    <row r="72" customFormat="false" ht="15" hidden="false" customHeight="true" outlineLevel="0" collapsed="false">
      <c r="A72" s="45" t="s">
        <v>418</v>
      </c>
    </row>
    <row r="73" customFormat="false" ht="15" hidden="false" customHeight="true" outlineLevel="0" collapsed="false">
      <c r="A73" s="45" t="s">
        <v>419</v>
      </c>
    </row>
    <row r="74" customFormat="false" ht="15" hidden="false" customHeight="true" outlineLevel="0" collapsed="false">
      <c r="A74" s="45" t="s">
        <v>420</v>
      </c>
    </row>
    <row r="75" customFormat="false" ht="15" hidden="false" customHeight="true" outlineLevel="0" collapsed="false">
      <c r="A75" s="45" t="s">
        <v>421</v>
      </c>
    </row>
    <row r="76" customFormat="false" ht="15" hidden="false" customHeight="true" outlineLevel="0" collapsed="false">
      <c r="A76" s="45" t="s">
        <v>422</v>
      </c>
    </row>
    <row r="77" customFormat="false" ht="15" hidden="false" customHeight="true" outlineLevel="0" collapsed="false">
      <c r="A77" s="45" t="s">
        <v>423</v>
      </c>
    </row>
    <row r="78" customFormat="false" ht="15" hidden="false" customHeight="true" outlineLevel="0" collapsed="false">
      <c r="A78" s="45" t="s">
        <v>424</v>
      </c>
    </row>
    <row r="79" customFormat="false" ht="15" hidden="false" customHeight="true" outlineLevel="0" collapsed="false">
      <c r="A79" s="45" t="s">
        <v>425</v>
      </c>
    </row>
    <row r="80" customFormat="false" ht="15" hidden="false" customHeight="true" outlineLevel="0" collapsed="false">
      <c r="A80" s="45" t="s">
        <v>426</v>
      </c>
    </row>
    <row r="81" customFormat="false" ht="15" hidden="false" customHeight="true" outlineLevel="0" collapsed="false">
      <c r="A81" s="45" t="s">
        <v>427</v>
      </c>
    </row>
    <row r="82" customFormat="false" ht="15" hidden="false" customHeight="true" outlineLevel="0" collapsed="false">
      <c r="A82" s="45" t="s">
        <v>428</v>
      </c>
    </row>
    <row r="83" customFormat="false" ht="15" hidden="false" customHeight="true" outlineLevel="0" collapsed="false">
      <c r="A83" s="45" t="s">
        <v>429</v>
      </c>
    </row>
    <row r="84" customFormat="false" ht="15" hidden="false" customHeight="true" outlineLevel="0" collapsed="false">
      <c r="A84" s="45" t="s">
        <v>430</v>
      </c>
    </row>
    <row r="85" customFormat="false" ht="15" hidden="false" customHeight="true" outlineLevel="0" collapsed="false">
      <c r="A85" s="45" t="s">
        <v>431</v>
      </c>
    </row>
    <row r="86" customFormat="false" ht="15" hidden="false" customHeight="true" outlineLevel="0" collapsed="false">
      <c r="A86" s="45" t="s">
        <v>432</v>
      </c>
    </row>
    <row r="87" customFormat="false" ht="15" hidden="false" customHeight="true" outlineLevel="0" collapsed="false">
      <c r="A87" s="45" t="s">
        <v>433</v>
      </c>
    </row>
    <row r="88" customFormat="false" ht="15" hidden="false" customHeight="true" outlineLevel="0" collapsed="false">
      <c r="A88" s="45" t="s">
        <v>434</v>
      </c>
    </row>
    <row r="89" customFormat="false" ht="15" hidden="false" customHeight="true" outlineLevel="0" collapsed="false">
      <c r="A89" s="45" t="s">
        <v>435</v>
      </c>
    </row>
    <row r="90" customFormat="false" ht="15" hidden="false" customHeight="true" outlineLevel="0" collapsed="false">
      <c r="A90" s="45" t="s">
        <v>436</v>
      </c>
    </row>
    <row r="91" customFormat="false" ht="15" hidden="false" customHeight="true" outlineLevel="0" collapsed="false">
      <c r="A91" s="45" t="s">
        <v>437</v>
      </c>
    </row>
    <row r="92" customFormat="false" ht="15" hidden="false" customHeight="true" outlineLevel="0" collapsed="false">
      <c r="A92" s="45" t="s">
        <v>438</v>
      </c>
    </row>
    <row r="93" customFormat="false" ht="15" hidden="false" customHeight="true" outlineLevel="0" collapsed="false">
      <c r="A93" s="45" t="s">
        <v>439</v>
      </c>
    </row>
    <row r="94" customFormat="false" ht="15" hidden="false" customHeight="true" outlineLevel="0" collapsed="false">
      <c r="A94" s="45" t="s">
        <v>440</v>
      </c>
    </row>
    <row r="95" customFormat="false" ht="15" hidden="false" customHeight="true" outlineLevel="0" collapsed="false">
      <c r="A95" s="45" t="s">
        <v>441</v>
      </c>
    </row>
    <row r="96" customFormat="false" ht="15" hidden="false" customHeight="true" outlineLevel="0" collapsed="false">
      <c r="A96" s="45" t="s">
        <v>442</v>
      </c>
    </row>
    <row r="97" customFormat="false" ht="15" hidden="false" customHeight="true" outlineLevel="0" collapsed="false">
      <c r="A97" s="45" t="s">
        <v>443</v>
      </c>
    </row>
    <row r="98" customFormat="false" ht="15" hidden="false" customHeight="true" outlineLevel="0" collapsed="false">
      <c r="A98" s="45" t="s">
        <v>444</v>
      </c>
    </row>
    <row r="99" customFormat="false" ht="15" hidden="false" customHeight="true" outlineLevel="0" collapsed="false">
      <c r="A99" s="45" t="s">
        <v>445</v>
      </c>
    </row>
    <row r="100" customFormat="false" ht="15" hidden="false" customHeight="true" outlineLevel="0" collapsed="false">
      <c r="A100" s="45" t="s">
        <v>446</v>
      </c>
    </row>
    <row r="101" customFormat="false" ht="15" hidden="false" customHeight="true" outlineLevel="0" collapsed="false">
      <c r="A101" s="45" t="s">
        <v>447</v>
      </c>
    </row>
    <row r="102" customFormat="false" ht="15" hidden="false" customHeight="true" outlineLevel="0" collapsed="false">
      <c r="A102" s="45" t="s">
        <v>448</v>
      </c>
    </row>
    <row r="103" customFormat="false" ht="15" hidden="false" customHeight="true" outlineLevel="0" collapsed="false">
      <c r="A103" s="45" t="s">
        <v>449</v>
      </c>
    </row>
    <row r="104" customFormat="false" ht="15" hidden="false" customHeight="false" outlineLevel="0" collapsed="false">
      <c r="A104" s="44" t="s">
        <v>450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2026-04-15T10:16:34Z</dcterms:created>
  <dc:creator>openpyxl</dc:creator>
  <dc:description/>
  <dc:language>en-US</dc:language>
  <cp:lastModifiedBy/>
  <dcterms:modified xsi:type="dcterms:W3CDTF">2026-04-15T10:16:34Z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